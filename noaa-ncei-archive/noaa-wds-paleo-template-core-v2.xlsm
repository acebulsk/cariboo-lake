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11" codeName="{00000000-0000-0000-0000-000000000000}"/>
  <workbookPr codeName="ThisWorkbook" defaultThemeVersion="166925"/>
  <mc:AlternateContent xmlns:mc="http://schemas.openxmlformats.org/markup-compatibility/2006">
    <mc:Choice Requires="x15">
      <x15ac:absPath xmlns:x15ac="http://schemas.microsoft.com/office/spreadsheetml/2010/11/ac" url="C:\Users\edward.p.gille\Data SubmitsLocal\templates\"/>
    </mc:Choice>
  </mc:AlternateContent>
  <xr:revisionPtr revIDLastSave="126" documentId="13_ncr:1_{F7BC0AE4-ED1E-4740-A92A-49203CC0E271}" xr6:coauthVersionLast="47" xr6:coauthVersionMax="47" xr10:uidLastSave="{88AE19E1-8A54-4010-941A-7697195A6163}"/>
  <bookViews>
    <workbookView xWindow="0" yWindow="0" windowWidth="4140" windowHeight="690" firstSheet="3" activeTab="1" xr2:uid="{BA7B7ADD-7A9E-4251-84F5-0B9C2D740961}"/>
  </bookViews>
  <sheets>
    <sheet name="About" sheetId="12" r:id="rId1"/>
    <sheet name="Metadata" sheetId="1" r:id="rId2"/>
    <sheet name="Chronology" sheetId="4" r:id="rId3"/>
    <sheet name="Data" sheetId="5" r:id="rId4"/>
    <sheet name="ITRDB" sheetId="10" r:id="rId5"/>
    <sheet name="Example-ITRDB" sheetId="11" r:id="rId6"/>
    <sheet name="Example-Metadata" sheetId="6" r:id="rId7"/>
    <sheet name="Example-C14 Chronology" sheetId="7" r:id="rId8"/>
    <sheet name="Example-UTh Chronology" sheetId="9" r:id="rId9"/>
    <sheet name="Example-Data" sheetId="8" r:id="rId10"/>
    <sheet name="ProxyAndReconstructionInfo" sheetId="2" r:id="rId11"/>
    <sheet name="NOAASciKeywords" sheetId="3" r:id="rId12"/>
  </sheets>
  <definedNames>
    <definedName name="borehole">ProxyAndReconstructionInfo!$D$2:$D$3</definedName>
    <definedName name="climate_forcing">ProxyAndReconstructionInfo!$E$2:$E$5</definedName>
    <definedName name="Climate_reconstructions">ProxyAndReconstructionInfo!$Q$2:$Q$20</definedName>
    <definedName name="corals_and_sclerosponges">ProxyAndReconstructionInfo!$F$2:$F$7</definedName>
    <definedName name="fauna">ProxyAndReconstructionInfo!$G$2:$G$4</definedName>
    <definedName name="fire_history">ProxyAndReconstructionInfo!$H$2:$H$4</definedName>
    <definedName name="historical">ProxyAndReconstructionInfo!$I$2:$I$6</definedName>
    <definedName name="ice_cores">ProxyAndReconstructionInfo!$J$2:$J$15</definedName>
    <definedName name="insect">ProxyAndReconstructionInfo!$K$2:$K$3</definedName>
    <definedName name="instrumental">ProxyAndReconstructionInfo!$T$2:$T$5</definedName>
    <definedName name="lake_levels">ProxyAndReconstructionInfo!$V$2</definedName>
    <definedName name="loess">ProxyAndReconstructionInfo!$U$2</definedName>
    <definedName name="paleoceanography">ProxyAndReconstructionInfo!$M$2:$M$15</definedName>
    <definedName name="Paleoclimatic_Modeling">ProxyAndReconstructionInfo!$L$2:$L$6</definedName>
    <definedName name="paleolimnology">ProxyAndReconstructionInfo!$N$2:$N$12</definedName>
    <definedName name="plant_macrofossils">ProxyAndReconstructionInfo!$O$2:$O$4</definedName>
    <definedName name="pollen">ProxyAndReconstructionInfo!$P$2:$P$5</definedName>
    <definedName name="ProxyList2">ProxyAndReconstructionInfo!$A$3:$A$23</definedName>
    <definedName name="speleothems">ProxyAndReconstructionInfo!$R$2:$R$8</definedName>
    <definedName name="tree_ring">ProxyAndReconstructionInfo!$S$2:$S$6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6" i="8" l="1"/>
  <c r="L28" i="7"/>
  <c r="M28" i="7" s="1"/>
  <c r="L27" i="7"/>
  <c r="M27" i="7" s="1"/>
  <c r="N28" i="7" l="1"/>
  <c r="N27" i="7"/>
  <c r="N28" i="2" l="1"/>
  <c r="E25" i="2"/>
  <c r="L22" i="2"/>
  <c r="I22" i="2"/>
</calcChain>
</file>

<file path=xl/sharedStrings.xml><?xml version="1.0" encoding="utf-8"?>
<sst xmlns="http://schemas.openxmlformats.org/spreadsheetml/2006/main" count="10469" uniqueCount="561">
  <si>
    <t>NOAA and World Data Center Paleoclimatology Program Data Contribution Template</t>
  </si>
  <si>
    <t>Version 4.1</t>
  </si>
  <si>
    <t>June 2022: Add ITRDB tab for bulk contributions of tree-ring records</t>
  </si>
  <si>
    <t>Mar 2021: Put Science_Keywords in top section of Metadata tab, add Parameter_Keywords tag to Data_Collection section</t>
  </si>
  <si>
    <t>Apr 2020: Changed "Archive" tag to "Data_Type", removed unused "Country" tag under Site_Information</t>
  </si>
  <si>
    <t>Feb 2017: Add "Description" field to Original_Source_URL, Add "Additional_Info" text block field to Variable table on Data tab</t>
  </si>
  <si>
    <t>Jan 2016: Add Online_Resource and Edition to Publication section</t>
  </si>
  <si>
    <t>Dec 2015: Remove units on core length. Require meters in core length field above.</t>
  </si>
  <si>
    <t>May 2015: Version 2.0- Added dynamic Parameter Keyword selection lists based on proxy type. Added Tree_Species_Code line.</t>
  </si>
  <si>
    <t>9/9/2014: Added Location and Country to Site information</t>
  </si>
  <si>
    <t>6/5/14: Remove blank column between Short_Name and What in Variables section of Data Tab</t>
  </si>
  <si>
    <t>9/3/13: Add "About" tab and version information</t>
  </si>
  <si>
    <r>
      <t xml:space="preserve">Version 4.0; Submit Template as email attachment to </t>
    </r>
    <r>
      <rPr>
        <b/>
        <sz val="11"/>
        <color theme="1"/>
        <rFont val="Calibri"/>
        <family val="2"/>
        <scheme val="minor"/>
      </rPr>
      <t>paleo@noaa.gov</t>
    </r>
    <r>
      <rPr>
        <sz val="11"/>
        <color theme="1"/>
        <rFont val="Calibri"/>
        <family val="2"/>
        <scheme val="minor"/>
      </rPr>
      <t>. See the Example-Metadata and Example-Data Tabs to see some examples of how to enter information</t>
    </r>
  </si>
  <si>
    <t>Study Title [where, what, when (time period covered)]</t>
  </si>
  <si>
    <t>Laminated Glaciolacustrine Sediment Record from Cariboo Lake, Columbia Mountains, British Columbia, Canada (2 cal ka BP - 2017)</t>
  </si>
  <si>
    <t>Original Source_URL [if applicable]</t>
  </si>
  <si>
    <t>https://zenodo.org/records/10471593</t>
  </si>
  <si>
    <t>Description of "Original_Source_URL" link, if applicable</t>
  </si>
  <si>
    <t>Zenodo Repository linked to Journal Submission</t>
  </si>
  <si>
    <t>Investigators [Lastname, first (ORCID); lastname2, first2 (ORCID),etc. ]</t>
  </si>
  <si>
    <t>Cebulski, Alex (0000-0001-7910-5056); Desloges, Joseph (0000-0001-8446-3034)</t>
  </si>
  <si>
    <t>Note: it will take a second for value selected below to populate cell B7</t>
  </si>
  <si>
    <t>Data_Type</t>
  </si>
  <si>
    <t>Paleolimnology</t>
  </si>
  <si>
    <t>NOAA Science Keywords:</t>
  </si>
  <si>
    <t>Other Hydroclimate Reconstruction</t>
  </si>
  <si>
    <r>
      <t xml:space="preserve">NOAAScience Keywords [optional, </t>
    </r>
    <r>
      <rPr>
        <b/>
        <sz val="11"/>
        <color rgb="FFFF0000"/>
        <rFont val="Calibri"/>
        <family val="2"/>
        <scheme val="minor"/>
      </rPr>
      <t>select any that apply</t>
    </r>
    <r>
      <rPr>
        <sz val="11"/>
        <color theme="1"/>
        <rFont val="Calibri"/>
        <family val="2"/>
        <scheme val="minor"/>
      </rPr>
      <t xml:space="preserve"> from Cell D6 list]</t>
    </r>
  </si>
  <si>
    <t>hydrology, Other Hydroclimate Reconstruction, centennial resolution</t>
  </si>
  <si>
    <t>Description and Notes</t>
  </si>
  <si>
    <t>This is for the second (V2) of two sediment cores (V1 &amp; V2) referenced in the journal article.</t>
  </si>
  <si>
    <t>Optional Scientific keywords separated by commas</t>
  </si>
  <si>
    <t>Publication Section</t>
  </si>
  <si>
    <t xml:space="preserve"> Any additional Publications should be entered in Columns C,D,etc. </t>
  </si>
  <si>
    <t>Authors (Exactly as written in the publication citation)</t>
  </si>
  <si>
    <t>A. Cebulski &amp; J. Desloges</t>
  </si>
  <si>
    <t>Publication title</t>
  </si>
  <si>
    <t>The influence of fluvial and glacial watershed dynamics on Holocene sediment accumulation in Cariboo Lake, Columbia Mountains, British Columbia, Canada</t>
  </si>
  <si>
    <t>Journal</t>
  </si>
  <si>
    <t>Canadian Journal of Earth Sciences</t>
  </si>
  <si>
    <t>Year</t>
  </si>
  <si>
    <t>Volume</t>
  </si>
  <si>
    <t>Edition</t>
  </si>
  <si>
    <t>Issue</t>
  </si>
  <si>
    <t>Pages</t>
  </si>
  <si>
    <t>Report Number</t>
  </si>
  <si>
    <t>DOI</t>
  </si>
  <si>
    <t>https://doi.org/10.1139/cjes-2023-0094</t>
  </si>
  <si>
    <t>Online_Resource</t>
  </si>
  <si>
    <t>Abstract</t>
  </si>
  <si>
    <t>Records of sedimentation collected from Cariboo Lake, situated in the northern Columbia Mountains, British Columbia, Canada, are analyzed to assess Holocene fluvial and glacial watershed dynamics. The aim of this study is to provide a proxy record of Holocene hydroclimate and glacier change from sediment archives at a higher temporal resolution compared to available records for the Interior Ranges of British Columbia. Deglacial and Holocene sediment accumulation is observed to reach a maximum thickness of 35 m in deep parts of the lake, using sub-bottom acoustic soundings. A transition from massive to well-stratified sediments is observed in the sub-bottom acoustic record during final phases of valley deglaciation in the region (~10.5–9 cal ka BP). Laminae couplets are interpreted to be deposited annually according to two 14C dates and a varve counting chronology. Two long cores, 2.9 and 3.8 m in length, were selected for analysis with estimated basal dates of 2 cal ka BP. Trends in downcore sediment characteristics were linked to environmental changes in the glaciated catchment headwaters at a temporal resolution of ~100 yrs. Upstream lake filtering of river floodplains and lakes prevented finding a higher temporal resolution linkage between the sediment characteristics and headwater fluvial and glacial activity. Despite some upstream filtering, the Cariboo River was found to be the primary source of sediment to the long core sites. Observed grain size and varve thickness from two long cores show above average trends which are coincident with cooler temperatures and the primary glacier advances over the last 2 ka.</t>
  </si>
  <si>
    <t>Alternate citation in paragraph format (For books, theses, etc. that don't fit well in above fields)</t>
  </si>
  <si>
    <t>Site Information</t>
  </si>
  <si>
    <t xml:space="preserve"> Use appropriate significant digits for all values</t>
  </si>
  <si>
    <t>Site name</t>
  </si>
  <si>
    <t>Cariboo Lake</t>
  </si>
  <si>
    <t>Location</t>
  </si>
  <si>
    <t>Columbia Mountains, British Columbia, Canada</t>
  </si>
  <si>
    <t>Northernmost latitude (decimal degree, South negative, WGS84)</t>
  </si>
  <si>
    <t>Southernmost latitude (decimal degree, South negative, WGS84)</t>
  </si>
  <si>
    <t xml:space="preserve"> If Site is a Point, Enter same value in Southernmost as Northernmost latitude.</t>
  </si>
  <si>
    <t>Easternmost longitude (decimal degree, West negative, WGS84)</t>
  </si>
  <si>
    <t>Westernmost longitude (decimal degree, West negative, WGS84)</t>
  </si>
  <si>
    <t xml:space="preserve"> If Site is a Point, Enter same value in Westernmost as Easternmost longitude.</t>
  </si>
  <si>
    <t>elevation (m), below sea level negative</t>
  </si>
  <si>
    <t>Data Collection Information</t>
  </si>
  <si>
    <t>Collection_Name (typically a core name)</t>
  </si>
  <si>
    <t>V2</t>
  </si>
  <si>
    <t>Oldest Year (relative to 1950AD)</t>
  </si>
  <si>
    <t>Most Recent Year (relative to 1950AD)</t>
  </si>
  <si>
    <t>Note: it will take a second for value selected below to populate cell B40</t>
  </si>
  <si>
    <t>Time_Unit</t>
  </si>
  <si>
    <t>radiocarbon year before present</t>
  </si>
  <si>
    <t>Parameter Keyword List:</t>
  </si>
  <si>
    <t>physical properties</t>
  </si>
  <si>
    <t>Parameter Keywords  (see possible terms in proxy-specific list - Cell D39)</t>
  </si>
  <si>
    <t>Notes</t>
  </si>
  <si>
    <t>Above dates are the median calibrated C14 range.</t>
  </si>
  <si>
    <t>Core_Length (m)</t>
  </si>
  <si>
    <t>Species Info (for Tree ring data)</t>
  </si>
  <si>
    <t xml:space="preserve">Any additional species should be entered in Columns C,D, etc. </t>
  </si>
  <si>
    <t>Species_Name</t>
  </si>
  <si>
    <t>Common_Name (for example, at the level of Family or higher)</t>
  </si>
  <si>
    <t>Tree_Species_code (Four Letters)</t>
  </si>
  <si>
    <t>Funding_Agency</t>
  </si>
  <si>
    <t xml:space="preserve">Any additional Funding agencies and grants should be entered in Columns C,D, etc. </t>
  </si>
  <si>
    <t>Funding_Agency_Name</t>
  </si>
  <si>
    <t>Grant</t>
  </si>
  <si>
    <t>Chronology Table Containing Measured Depths and Ages</t>
  </si>
  <si>
    <t>Put data used for building the age model on this sheet. See "Example C14 Chronology" tab for an example table.</t>
  </si>
  <si>
    <t>Chronology Notes</t>
  </si>
  <si>
    <t>Chronology Table As Paragraph (insert table into cell B3) not preferred</t>
  </si>
  <si>
    <t>Chronology Table (Use as many rows and columns are needed below this line)</t>
  </si>
  <si>
    <t xml:space="preserve">NOTE: Additional Chronology tables should be put below the first one with no more than one blank line. </t>
  </si>
  <si>
    <t>Paste Measured Radiocarbon Ages into a table below.  Ages from other sources can be included using the depth, calib.14C, and notes columns</t>
  </si>
  <si>
    <t xml:space="preserve">Labcode </t>
  </si>
  <si>
    <t xml:space="preserve">sample identification used by 14C laboratory </t>
  </si>
  <si>
    <t>depth_top</t>
  </si>
  <si>
    <t>Depth top of sample interval (cm)</t>
  </si>
  <si>
    <t>depth_bottom</t>
  </si>
  <si>
    <t>Depth bottom of sample interval (cm)</t>
  </si>
  <si>
    <t xml:space="preserve">mat.dated </t>
  </si>
  <si>
    <t>Material Dated</t>
  </si>
  <si>
    <t>14C.raw</t>
  </si>
  <si>
    <t xml:space="preserve">conventional radiocarbon age, years before 1950AD  </t>
  </si>
  <si>
    <t xml:space="preserve">14C.raw_err </t>
  </si>
  <si>
    <t xml:space="preserve">radiocarbon age, standard error </t>
  </si>
  <si>
    <t xml:space="preserve">datemeth  </t>
  </si>
  <si>
    <t>Dating method</t>
  </si>
  <si>
    <t xml:space="preserve">calib.14C  </t>
  </si>
  <si>
    <t>Median calibrated age</t>
  </si>
  <si>
    <t>calib.14C_2sig_lo</t>
  </si>
  <si>
    <t xml:space="preserve">Calibrated age, 2-sigma lower confidence bound   </t>
  </si>
  <si>
    <t>calib.14C_2sig_up</t>
  </si>
  <si>
    <t xml:space="preserve">Calibrated age, 2-sigma upper confidence bound </t>
  </si>
  <si>
    <t xml:space="preserve">calib_method </t>
  </si>
  <si>
    <t>Calibration method</t>
  </si>
  <si>
    <t xml:space="preserve">rejected </t>
  </si>
  <si>
    <t>Rejected sample  (yes/no)</t>
  </si>
  <si>
    <t>notes</t>
  </si>
  <si>
    <t>Labcode</t>
  </si>
  <si>
    <t>mat.dated</t>
  </si>
  <si>
    <t>14C.raw_err</t>
  </si>
  <si>
    <t>datemeth</t>
  </si>
  <si>
    <t xml:space="preserve">calib_method            </t>
  </si>
  <si>
    <t>UOC‐5767</t>
  </si>
  <si>
    <t>Wood &amp; Spruce Needle</t>
  </si>
  <si>
    <t>14C AMS</t>
  </si>
  <si>
    <t>Reimer, P.J. 2020. Composition and consequences of the IntCal20 radio- carbon calibration curve. Quaternary Research (United States), 96: 22–27. doi:10.1017/qua.2020.42.</t>
  </si>
  <si>
    <t>F</t>
  </si>
  <si>
    <t>Variables</t>
  </si>
  <si>
    <t>Use one row to define each variable, beginning with depth then age; use additional templates for additional tables</t>
  </si>
  <si>
    <t>Note: Data_Format is 'N' for numeric and 'C' for character data</t>
  </si>
  <si>
    <t>Short_name</t>
  </si>
  <si>
    <t>What</t>
  </si>
  <si>
    <t>Material</t>
  </si>
  <si>
    <t>Error</t>
  </si>
  <si>
    <t>Units</t>
  </si>
  <si>
    <t>Seasonality</t>
  </si>
  <si>
    <t>Detail</t>
  </si>
  <si>
    <t>Method</t>
  </si>
  <si>
    <t>Data_Format</t>
  </si>
  <si>
    <t>Additional_Information</t>
  </si>
  <si>
    <t xml:space="preserve">The Variable Fields: What, Material,Error, Units,Seasonality, Data_Type, Detail, Method, and Data_Format should be filled using the Controlled Vocabulary lists provided at &lt;https://www.ncdc.noaa.gov/paleo-search/cvterms&gt;. The Additional_Information field is a free text field for providing any other information needed to describe the variable. </t>
  </si>
  <si>
    <t>depth</t>
  </si>
  <si>
    <t>mm</t>
  </si>
  <si>
    <t>paleolimnology</t>
  </si>
  <si>
    <t>Depth with turbidites included.</t>
  </si>
  <si>
    <t>N</t>
  </si>
  <si>
    <t>depth_no_turbs</t>
  </si>
  <si>
    <t>Depth with turbidites not included.</t>
  </si>
  <si>
    <t>year_bp_ams</t>
  </si>
  <si>
    <t>age</t>
  </si>
  <si>
    <t>see chronology information</t>
  </si>
  <si>
    <t>cal yr bp</t>
  </si>
  <si>
    <t>year_bp_varve</t>
  </si>
  <si>
    <t>yr bp</t>
  </si>
  <si>
    <t>Age determined by laminae counting. Indiscernible varves have been interpolated using the mean of moving window with a width of 30.</t>
  </si>
  <si>
    <t>core_id</t>
  </si>
  <si>
    <t>sample identification</t>
  </si>
  <si>
    <t>NA</t>
  </si>
  <si>
    <t>C</t>
  </si>
  <si>
    <t>turbidite_flag</t>
  </si>
  <si>
    <t>formation property</t>
  </si>
  <si>
    <t>(TRUE or FALSE)</t>
  </si>
  <si>
    <t>True if the layer was deposited during an event (turbidite).</t>
  </si>
  <si>
    <t>indiscernible_flag</t>
  </si>
  <si>
    <t>layer_thickness</t>
  </si>
  <si>
    <t>thickness</t>
  </si>
  <si>
    <t>Thickness of the low flow winter laminae and high flow spring/summer freshet laminae laminae which are interpreted as varve couplets.</t>
  </si>
  <si>
    <t>organic_matter</t>
  </si>
  <si>
    <t>organic matter</t>
  </si>
  <si>
    <t>%</t>
  </si>
  <si>
    <t>Percent weight loss-on-ignition (550 ◦C)</t>
  </si>
  <si>
    <t>loss on ignition</t>
  </si>
  <si>
    <t>D10</t>
  </si>
  <si>
    <t>grain size</t>
  </si>
  <si>
    <t>μm</t>
  </si>
  <si>
    <t>particle size analysis</t>
  </si>
  <si>
    <t>D25</t>
  </si>
  <si>
    <t>D50</t>
  </si>
  <si>
    <t>D75</t>
  </si>
  <si>
    <t>D90</t>
  </si>
  <si>
    <t>perc_clay</t>
  </si>
  <si>
    <t>grain size class clay</t>
  </si>
  <si>
    <t>percent of particles in the range 0.01-2 μm</t>
  </si>
  <si>
    <t>perc_silt</t>
  </si>
  <si>
    <t>grain size class silt</t>
  </si>
  <si>
    <t>percent of particles in the range 2-63 μm</t>
  </si>
  <si>
    <t>perc_sand</t>
  </si>
  <si>
    <t>grain size class sand</t>
  </si>
  <si>
    <t>percent of particles in the range 63-2000 μm</t>
  </si>
  <si>
    <t>Data</t>
  </si>
  <si>
    <t>Paste Data Table below starting in Column A</t>
  </si>
  <si>
    <t xml:space="preserve">Missing Value </t>
  </si>
  <si>
    <t>The value or character string used as a placeholder for missing values</t>
  </si>
  <si>
    <t>depth_no_turb</t>
  </si>
  <si>
    <t>E13</t>
  </si>
  <si>
    <t>dataID</t>
  </si>
  <si>
    <t>Site Name</t>
  </si>
  <si>
    <t>latitude</t>
  </si>
  <si>
    <t>longitude</t>
  </si>
  <si>
    <t>elevation</t>
  </si>
  <si>
    <t>speciescode</t>
  </si>
  <si>
    <t>species</t>
  </si>
  <si>
    <t>startYear</t>
  </si>
  <si>
    <t>endYear</t>
  </si>
  <si>
    <t>investigators</t>
  </si>
  <si>
    <t>Citation</t>
  </si>
  <si>
    <t>Citation2</t>
  </si>
  <si>
    <t>funding_agency</t>
  </si>
  <si>
    <t>grant</t>
  </si>
  <si>
    <t>Description of ITRDB Metadata Fields</t>
  </si>
  <si>
    <t>Description</t>
  </si>
  <si>
    <t>dataset ID  NOTE: This field should match the name of the corresponding .rwl file, so file abc999.rwl would have abc999 in this column</t>
  </si>
  <si>
    <t>name for the site where the data was collected</t>
  </si>
  <si>
    <t>Country or US State where site is located</t>
  </si>
  <si>
    <t>latitude of site in decimal degrees North</t>
  </si>
  <si>
    <t>longitude of site in decimal degrees East</t>
  </si>
  <si>
    <t>elevation of site in meters</t>
  </si>
  <si>
    <t>4-letter code of tree species used</t>
  </si>
  <si>
    <r>
      <t xml:space="preserve">Full species name, </t>
    </r>
    <r>
      <rPr>
        <sz val="11"/>
        <color rgb="FFFF0000"/>
        <rFont val="Calibri"/>
        <family val="2"/>
        <scheme val="minor"/>
      </rPr>
      <t>only necessary if speciescode is not filled out</t>
    </r>
  </si>
  <si>
    <t>start year in years CE</t>
  </si>
  <si>
    <t>end year in years CE</t>
  </si>
  <si>
    <t>semicolon separated list of investigators (last, first; last2, first2)</t>
  </si>
  <si>
    <t>citation text or DOI for original publication source of data</t>
  </si>
  <si>
    <t>If necessary, citation text or DOI for secondary publication associated with data</t>
  </si>
  <si>
    <t>funding agency name, if applicable</t>
  </si>
  <si>
    <t>grant number, if applicable</t>
  </si>
  <si>
    <t>Any additional information about the use of the record that is not covered in the fields above</t>
  </si>
  <si>
    <t>ITRDB_Metadata</t>
  </si>
  <si>
    <t>There is no need to change Orange cells. This is the metadata we'd like for the records used. Leave cells blank if no data exists for that field.</t>
  </si>
  <si>
    <t>NWC01</t>
  </si>
  <si>
    <t>Wolf Creek</t>
  </si>
  <si>
    <t>Nevada</t>
  </si>
  <si>
    <t>QUPE</t>
  </si>
  <si>
    <t>Cutter, Chris; Newman, Jerome</t>
  </si>
  <si>
    <t>10.1007/s11252-9999</t>
  </si>
  <si>
    <t>US National Science Foundation</t>
  </si>
  <si>
    <t>ZZ-9876</t>
  </si>
  <si>
    <t>GTB02</t>
  </si>
  <si>
    <t>Taylor Bog</t>
  </si>
  <si>
    <t>Germany</t>
  </si>
  <si>
    <t>QURO</t>
  </si>
  <si>
    <t>JURG_08</t>
  </si>
  <si>
    <t>Pinkston</t>
  </si>
  <si>
    <t>Argentina</t>
  </si>
  <si>
    <t>JGAU</t>
  </si>
  <si>
    <t>Smith, Z.A.; Jones, A.B.</t>
  </si>
  <si>
    <t>10.1007/s11258-2222</t>
  </si>
  <si>
    <t>TOUS_01</t>
  </si>
  <si>
    <t>Atherton Island</t>
  </si>
  <si>
    <t>Australia</t>
  </si>
  <si>
    <t>TOCI</t>
  </si>
  <si>
    <t>PIAH_01</t>
  </si>
  <si>
    <t>Bridgetown</t>
  </si>
  <si>
    <t>Bahamas</t>
  </si>
  <si>
    <t>Pinus elliottii</t>
  </si>
  <si>
    <t>Grant, Lawrence</t>
  </si>
  <si>
    <t>Grant et al. (2022), Tree-ring Growth Data. Nature, 99, 123-129.</t>
  </si>
  <si>
    <t>CHAN_01</t>
  </si>
  <si>
    <t>Walters National Park</t>
  </si>
  <si>
    <t>Bangladesh</t>
  </si>
  <si>
    <t>CKTA</t>
  </si>
  <si>
    <t>Choben, L.K.; Pronek, A.R.</t>
  </si>
  <si>
    <t>10.8999/by890-3456</t>
  </si>
  <si>
    <r>
      <t xml:space="preserve">Submit Template as email attachment to </t>
    </r>
    <r>
      <rPr>
        <b/>
        <sz val="11"/>
        <color theme="1"/>
        <rFont val="Calibri"/>
        <family val="2"/>
        <scheme val="minor"/>
      </rPr>
      <t>paleo@noaa.gov</t>
    </r>
    <r>
      <rPr>
        <sz val="11"/>
        <color theme="1"/>
        <rFont val="Calibri"/>
        <family val="2"/>
        <scheme val="minor"/>
      </rPr>
      <t>. See the Example-Metadata and Example-Data Tabs to see some examples of how to enter information</t>
    </r>
  </si>
  <si>
    <t>Test Study Title</t>
  </si>
  <si>
    <t>https://www.ncdc.noaa.gov/paleo/study/9999</t>
  </si>
  <si>
    <t>NOAA Study where raw data was obtained.</t>
  </si>
  <si>
    <t>Smith, J.K.(0000-0000-9999-1234); Jones T.Y.(0000-0000-9999-9876)</t>
  </si>
  <si>
    <t>Paleoceanography</t>
  </si>
  <si>
    <t>Possible Science Keywords:</t>
  </si>
  <si>
    <t>sea surface temperature reconstruction, Younger Dryas, Glacial</t>
  </si>
  <si>
    <t xml:space="preserve">Additional information about the study that would be useful to a researcher using the data and isn't captured anywhere else on the template. </t>
  </si>
  <si>
    <t>Additional Scientific keywords separated by commas</t>
  </si>
  <si>
    <t>Authors</t>
  </si>
  <si>
    <t>Smith, J.K., J.J. Doe and T.Y. Jones</t>
  </si>
  <si>
    <t>Taylor, A.X. and R.T. Carr</t>
  </si>
  <si>
    <t>Pub_title</t>
  </si>
  <si>
    <t>Fake Pub Title</t>
  </si>
  <si>
    <t>Second Test Pub Title</t>
  </si>
  <si>
    <t>Nature</t>
  </si>
  <si>
    <t>90-95</t>
  </si>
  <si>
    <t>230-242</t>
  </si>
  <si>
    <t>Report_Number</t>
  </si>
  <si>
    <t>PA4033</t>
  </si>
  <si>
    <t>10.1039/9999999</t>
  </si>
  <si>
    <t>10.1039/765765777</t>
  </si>
  <si>
    <t>Full abstract for the Smith and Jones study.</t>
  </si>
  <si>
    <t xml:space="preserve">Abstract for second example publication. </t>
  </si>
  <si>
    <t>Full Citation</t>
  </si>
  <si>
    <t>ODP9999</t>
  </si>
  <si>
    <t>Atlantic Ocean</t>
  </si>
  <si>
    <t>ODP9999-2013 Isotopes</t>
  </si>
  <si>
    <t>Most Recent Year relative to 1950AD)</t>
  </si>
  <si>
    <t>cal yr BP</t>
  </si>
  <si>
    <r>
      <t>Parameter Keywords (</t>
    </r>
    <r>
      <rPr>
        <b/>
        <sz val="11"/>
        <color rgb="FFFF0000"/>
        <rFont val="Calibri"/>
        <family val="2"/>
        <scheme val="minor"/>
      </rPr>
      <t>select one or many</t>
    </r>
    <r>
      <rPr>
        <sz val="11"/>
        <color theme="1"/>
        <rFont val="Calibri"/>
        <family val="2"/>
        <scheme val="minor"/>
      </rPr>
      <t xml:space="preserve"> from proxy-specific list in Cell D40)</t>
    </r>
  </si>
  <si>
    <t>carbon isotopes, biomarkers, geochemistry</t>
  </si>
  <si>
    <t>Spliced together with TN23.</t>
  </si>
  <si>
    <t>Species Info(for Tree ring data)</t>
  </si>
  <si>
    <t>Pinus ponderosa Douglas ex C. Lawson</t>
  </si>
  <si>
    <t>Common_Name</t>
  </si>
  <si>
    <t>ponderosa pine</t>
  </si>
  <si>
    <t>PIPO</t>
  </si>
  <si>
    <r>
      <t xml:space="preserve">See </t>
    </r>
    <r>
      <rPr>
        <b/>
        <sz val="11"/>
        <color theme="1"/>
        <rFont val="Calibri"/>
        <family val="2"/>
        <scheme val="minor"/>
      </rPr>
      <t>https://www.ncei.noaa.gov/pub/data/paleo/templates/Tree-species-code.csv</t>
    </r>
    <r>
      <rPr>
        <sz val="11"/>
        <color theme="1"/>
        <rFont val="Calibri"/>
        <family val="2"/>
        <scheme val="minor"/>
      </rPr>
      <t xml:space="preserve"> for list of these values</t>
    </r>
  </si>
  <si>
    <t>National Science Foundation</t>
  </si>
  <si>
    <t>European Union</t>
  </si>
  <si>
    <t>AG99-1234</t>
  </si>
  <si>
    <t>09-1234</t>
  </si>
  <si>
    <t>See "Example C14 Chronology" tab for an example table.</t>
  </si>
  <si>
    <t xml:space="preserve">reservoir </t>
  </si>
  <si>
    <t>Reservoir correction</t>
  </si>
  <si>
    <t xml:space="preserve">delta-R </t>
  </si>
  <si>
    <t>Deviation from global mean reservoir correction</t>
  </si>
  <si>
    <t xml:space="preserve">delta-R_err_lo   </t>
  </si>
  <si>
    <t xml:space="preserve">delta-R standard error down </t>
  </si>
  <si>
    <t xml:space="preserve">delta-R_err_up </t>
  </si>
  <si>
    <t xml:space="preserve">delta-R standard error up </t>
  </si>
  <si>
    <t>Calibrated age</t>
  </si>
  <si>
    <t>calib.14C_1sig_lo</t>
  </si>
  <si>
    <t xml:space="preserve">Calibrated age, 1-sigma lower confidence bound  </t>
  </si>
  <si>
    <t>calib.14C_1sig_up</t>
  </si>
  <si>
    <t xml:space="preserve">Calibrated age, 1-sigma upper confidence bound   </t>
  </si>
  <si>
    <t>reservoir</t>
  </si>
  <si>
    <t>delta-R</t>
  </si>
  <si>
    <t>delta-R_err_lo</t>
  </si>
  <si>
    <t>delta-R_err_up</t>
  </si>
  <si>
    <t>PDQ 989</t>
  </si>
  <si>
    <t>Saksunarvatn ash</t>
  </si>
  <si>
    <t>correlation to NGRIP</t>
  </si>
  <si>
    <t>SUERC 14086</t>
  </si>
  <si>
    <t>G. bulloides</t>
  </si>
  <si>
    <t>Marine04</t>
  </si>
  <si>
    <t>Calib 5.3</t>
  </si>
  <si>
    <t>AA 17840</t>
  </si>
  <si>
    <t>N. pachyderma (s)</t>
  </si>
  <si>
    <t>averaged with G. bulloides measurement at 432 cm</t>
  </si>
  <si>
    <t>AA 17863</t>
  </si>
  <si>
    <t>YES</t>
  </si>
  <si>
    <t>benthic d18O</t>
  </si>
  <si>
    <t>correlation to Byrd d18O</t>
  </si>
  <si>
    <t>correlation to Lisiecki et al. 2005</t>
  </si>
  <si>
    <t>samp_id</t>
  </si>
  <si>
    <t>depth_mm</t>
  </si>
  <si>
    <t>238U_ppb</t>
  </si>
  <si>
    <t>238U_2s_ppb</t>
  </si>
  <si>
    <t>232Th_ppt</t>
  </si>
  <si>
    <t>232Th_2s_ppt</t>
  </si>
  <si>
    <t>230Th_232Th_atom_10e-6</t>
  </si>
  <si>
    <t>230Th_232Th_atom_2s_10e-6</t>
  </si>
  <si>
    <t>d234U_meas_permil</t>
  </si>
  <si>
    <t>d234U_meas_2s_permil</t>
  </si>
  <si>
    <t>230Th_238U_act</t>
  </si>
  <si>
    <t>230Th_238U_act_2s</t>
  </si>
  <si>
    <t>age_uncorr_BP</t>
  </si>
  <si>
    <t>age_uncorr_2s_yr</t>
  </si>
  <si>
    <t>age_corr_BP</t>
  </si>
  <si>
    <t>age_corr_2s_yr</t>
  </si>
  <si>
    <t>d234U_init_permil</t>
  </si>
  <si>
    <t>d234U_init_2s_permil</t>
  </si>
  <si>
    <t>age_corr_BP1950</t>
  </si>
  <si>
    <t>date_used</t>
  </si>
  <si>
    <t>HC-1</t>
  </si>
  <si>
    <t>yes</t>
  </si>
  <si>
    <t>HC-1d</t>
  </si>
  <si>
    <t>HC-1a</t>
  </si>
  <si>
    <t>no</t>
  </si>
  <si>
    <t>HC-2d</t>
  </si>
  <si>
    <t>HC-3d</t>
  </si>
  <si>
    <t>HC-3c</t>
  </si>
  <si>
    <t xml:space="preserve">Use as many rows as you need for variables. </t>
  </si>
  <si>
    <t>For additonal help:</t>
  </si>
  <si>
    <t>Variable Naming Guide</t>
  </si>
  <si>
    <t>Variable Example List</t>
  </si>
  <si>
    <t>millimeter</t>
  </si>
  <si>
    <t>corals and sclerosponges</t>
  </si>
  <si>
    <t>age_AD</t>
  </si>
  <si>
    <t>year Common Era</t>
  </si>
  <si>
    <t>d18Oporit-anom</t>
  </si>
  <si>
    <t>delta 18O</t>
  </si>
  <si>
    <t>Porites sp.</t>
  </si>
  <si>
    <t>per mil PDB</t>
  </si>
  <si>
    <t>anomalized</t>
  </si>
  <si>
    <t>isotope ratio mass spectrometry</t>
  </si>
  <si>
    <t>reference period: 1981-1986 A.D.</t>
  </si>
  <si>
    <t>d18Oporit-anom_err</t>
  </si>
  <si>
    <t>one standard deviation</t>
  </si>
  <si>
    <t>Sr/Ca-d.laby</t>
  </si>
  <si>
    <t>strontium/calcium</t>
  </si>
  <si>
    <t>Diploria labyrinthiformis</t>
  </si>
  <si>
    <t>millimole per mole</t>
  </si>
  <si>
    <t>Dec-Mar</t>
  </si>
  <si>
    <t>smoothed</t>
  </si>
  <si>
    <t>inductively coupled plasma atomic emission spectroscopy</t>
  </si>
  <si>
    <t>5 year bin used in smoothing</t>
  </si>
  <si>
    <t>sst-aug</t>
  </si>
  <si>
    <t>sea surface temperature</t>
  </si>
  <si>
    <t>degree Celsius</t>
  </si>
  <si>
    <t>Aug</t>
  </si>
  <si>
    <t>climate reconstructions; corals and sclerosponges</t>
  </si>
  <si>
    <t>regression analysis</t>
  </si>
  <si>
    <t>Paste in Data Table starting in Column A</t>
  </si>
  <si>
    <t>Missing Value</t>
  </si>
  <si>
    <t>Please Do Not Modify This Page</t>
  </si>
  <si>
    <t>Selectone</t>
  </si>
  <si>
    <t xml:space="preserve">borehole                                                                                                                                                                                                                                                                                                                                                                                                                                                                                                                                                                                                                                                                                                                                                                                                                                                                                                                                                                                                                                                                                                                                                                                                                                                                                                                                                                                                                                                                                                                                                                                                                                                                                                                                                                                                                                                                                                                                                                                                                                                                                                                                                                                                                                                                                                                                                                                                                                                                                                                                                                                                                                                                                                                                                                                                                                                                                                                                                                                                                                                                                                                                                                                                                                                                                                                                                                                                                                                                                                                                                                                                                                                                                                                                                                                                                                                                                                                                                                                                                                                                                                                                             </t>
  </si>
  <si>
    <t xml:space="preserve">climate forcing                                                                                                                                                                                                                                                                                                                                                                                                                                                                                                                                                                                                                                                                                                                                                                                                                                                                                                                                                                                                                                                                                                                                                                                                                                                                                                                                                                                                                                                                                                                                                                                                                                                                                                                                                                                                                                                                                                                                                                                                                                                                                                                                                                                                                                                                                                                                                                                                                                                                                                                                                                                                                                                                                                                                                                                                                                                                                                                                                                                                                                                                                                                                                                                                                                                                                                                                                                                                                                                                                                                                                                                                                                                                                                                                                                                                                                                                                                                                                                                                                                                                                                                                                  </t>
  </si>
  <si>
    <t xml:space="preserve">corals and sclerosponges                                                                                                                                                                                                                                                                                                                                                                                                                                                                                                                                                                                                                                                                                                                                                                                                                                                                                                                                                                                                                                                                                                                                                                                                                                                                                                                                                                                                                                                                                                                                                                                                                                                                                                                                                                                                                                                                                                                                                                                                                                                                                                                                                                                                                                                                                                                                                                                                                                                                                                                                                                                                                                                                                                                                                                                                                                                                                                                                                                                                                                                                                                                                                                                                                                                                                                                                                                                                                                                                                                                                                                                                                                                                                                                                                                                                                                                                                                                                                                                                                                                                                                                                         </t>
  </si>
  <si>
    <t xml:space="preserve">fauna                                                                                                                                                                                                                                                                                                                                                                                                                                                                                                                                                                                                                                                                                                                                                                                                                                                                                                                                                                                                                                                                                                                                                                                                                                                                                                                                                                                                                                                                                                                                                                                                                                                                                                                                                                                                                                                                                                                                                                                                                                                                                                                                                                                                                                                                                                                                                                                                                                                                                                                                                                                                                                                                                                                                                                                                                                                                                                                                                                                                                                                                                                                                                                                                                                                                                                                                                                                                                                                                                                                                                                                                                                                                                                                                                                                                                                                                                                                                                                                                                                                                                                                                                            </t>
  </si>
  <si>
    <t xml:space="preserve">fire history                                                                                                                                                                                                                                                                                                                                                                                                                                                                                                                                                                                                                                                                                                                                                                                                                                                                                                                                                                                                                                                                                                                                                                                                                                                                                                                                                                                                                                                                                                                                                                                                                                                                                                                                                                                                                                                                                                                                                                                                                                                                                                                                                                                                                                                                                                                                                                                                                                                                                                                                                                                                                                                                                                                                                                                                                                                                                                                                                                                                                                                                                                                                                                                                                                                                                                                                                                                                                                                                                                                                                                                                                                                                                                                                                                                                                                                                                                                                                                                                                                                                                                                                                     </t>
  </si>
  <si>
    <t xml:space="preserve">historical                                                                                                                                                                                                                                                                                                                                                                                                                                                                                                                                                                                                                                                                                                                                                                                                                                                                                                                                                                                                                                                                                                                                                                                                                                                                                                                                                                                                                                                                                                                                                                                                                                                                                                                                                                                                                                                                                                                                                                                                                                                                                                                                                                                                                                                                                                                                                                                                                                                                                                                                                                                                                                                                                                                                                                                                                                                                                                                                                                                                                                                                                                                                                                                                                                                                                                                                                                                                                                                                                                                                                                                                                                                                                                                                                                                                                                                                                                                                                                                                                                                                                                                                                       </t>
  </si>
  <si>
    <t xml:space="preserve">ice cores                                                                                                                                                                                                                                                                                                                                                                                                                                                                                                                                                                                                                                                                                                                                                                                                                                                                                                                                                                                                                                                                                                                                                                                                                                                                                                                                                                                                                                                                                                                                                                                                                                                                                                                                                                                                                                                                                                                                                                                                                                                                                                                                                                                                                                                                                                                                                                                                                                                                                                                                                                                                                                                                                                                                                                                                                                                                                                                                                                                                                                                                                                                                                                                                                                                                                                                                                                                                                                                                                                                                                                                                                                                                                                                                                                                                                                                                                                                                                                                                                                                                                                                                                 </t>
  </si>
  <si>
    <t xml:space="preserve">insect                                                                                                                                                                                                                                                                                                                                                                                                                                                                                                                                                                                                                                                                                                                                                                                                                                                                                                                                                                                                                                                                                                                                                                                                                                                                                                                                                                                                                                                                                                                                                                                                                                                                                                                                                                                                                                                                                                                                                                                                                                                                                                                                                                                                                                                                                                                                                                                                                                                                                                                                                                                                                                                                                                                                                                                                                                                                                                                                                                                                                                                                                                                                                                                                                                                                                                                                                                                                                                                                                                                                                                                                                                                                                                                                                                                                                                                                                                                                                                                                                                                                                                                                               </t>
  </si>
  <si>
    <t>Paleoclimatic Modeling</t>
  </si>
  <si>
    <t xml:space="preserve">paleoceanography                                                                                                                                                                                                                                                                                                                                                                                                                                                                                                                                                                                                                                                                                                                                                                                                                                                                                                                                                                                                                                                                                                                                                                                                                                                                                                                                                                                                                                                                                                                                                                                                                                                                                                                                                                                                                                                                                                                                                                                                                                                                                                                                                                                                                                                                                                                                                                                                                                                                                                                                                                                                                                                                                                                                                                                                                                                                                                                                                                                                                                                                                                                                                                                                                                                                                                                                                                                                                                                                                                                                                                                                                                                                                                                                                                                                                                                                                                                                                                                                                                                                                                                                             </t>
  </si>
  <si>
    <t xml:space="preserve">paleolimnology                                                                                                                                                                                                                                                                                                                                                                                                                                                                                                                                                                                                                                                                                                                                                                                                                                                                                                                                                                                                                                                                                                                                                                                                                                                                                                                                                                                                                                                                                                                                                                                                                                                                                                                                                                                                                                                                                                                                                                                                                                                                                                                                                                                                                                                                                                                                                                                                                                                                                                                                                                                                                                                                                                                                                                                                                                                                                                                                                                                                                                                                                                                                                                                                                                                                                                                                                                                                                                                                                                                                                                                                                                                                                                                                                                                                                                                                                                                                                                                                                                                                                                                                                   </t>
  </si>
  <si>
    <t xml:space="preserve">plant macrofossils                                                                                                                                                                                                                                                                                                                                                                                                                                                                                                                                                                                                                                                                                                                                                                                                                                                                                                                                                                                                                                                                                                                                                                                                                                                                                                                                                                                                                                                                                                                                                                                                                                                                                                                                                                                                                                                                                                                                                                                                                                                                                                                                                                                                                                                                                                                                                                                                                                                                                                                                                                                                                                                                                                                                                                                                                                                                                                                                                                                                                                                                                                                                                                                                                                                                                                                                                                                                                                                                                                                                                                                                                                                                                                                                                                                                                                                                                                                                                                                                                                                                                                                                  </t>
  </si>
  <si>
    <t xml:space="preserve">pollen                                                                                                                                                                                                                                                                                                                                                                                                                                                                                                                                                                                                                                                                                                                                                                                                                                                                                                                                                                                                                                                                                                                                                                                                                                                                                                                                                                                                                                                                                                                                                                                                                                                                                                                                                                                                                                                                                                                                                                                                                                                                                                                                                                                                                                                                                                                                                                                                                                                                                                                                                                                                                                                                                                                                                                                                                                                                                                                                                                                                                                                                                                                                                                                                                                                                                                                                                                                                                                                                                                                                                                                                                                                                                                                                                                                                                                                                                                                                                                                                                                                                                                                                                           </t>
  </si>
  <si>
    <t xml:space="preserve">Climate reconstructions                                                                                                                                                                                                                                                                                                                                                                                                                                                                                                                                                                                                                                                                                                                                                                                                                                                                                                                                                                                                                                                                                                                                                                                                                                                                                                                                                                                                                                                                                                                                                                                                                                                                                                                                                                                                                                                                                                                                                                                                                                                                                                                                                                                                                                                                                                                                                                                                                                                                                                                                                                                                                                                                                                                                                                                                                                                                                                                                                                                                                                                                                                                                                                                                                                                                                                                                                                                                                                                                                                                                                                                                                                                                                                                                                                                                                                                                                                                                                                                                                                                                                                                                                  </t>
  </si>
  <si>
    <t xml:space="preserve">speleothems                                                                                                                                                                                                                                                                                                                                                                                                                                                                                                                                                                                                                                                                                                                                                                                                                                                                                                                                                                                                                                                                                                                                                                                                                                                                                                                                                                                                                                                                                                                                                                                                                                                                                                                                                                                                                                                                                                                                                                                                                                                                                                                                                                                                                                                                                                                                                                                                                                                                                                                                                                                                                                                                                                                                                                                                                                                                                                                                                                                                                                                                                                                                                                                                                                                                                                                                                                                                                                                                                                                                                                                                                                                                                                                                                                                                                                                                                                                                                                                                                                                                                                                                                      </t>
  </si>
  <si>
    <t xml:space="preserve">tree ring                                                                                                                                                                                                                                                                                                                                                                                                                                                                                                                                                                                                                                                                                                                                                                                                                                                                                                                                                                                                                                                                                                                                                                                                                                                                                                                                                                                                                                                                                                                                                                                                                                                                                                                                                                                                                                                                                                                                                                                                                                                                                                                                                                                                                                                                                                                                                                                                                                                                                                                                                                                                                                                                                                                                                                                                                                                                                                                                                                                                                                                                                                                                                                                                                                                                                                                                                                                                                                                                                                                                                                                                                                                                                                                                                                                                                                                                                                                                                                                                                                                                                                                                                        </t>
  </si>
  <si>
    <t xml:space="preserve">instrumental                                                                                                                                                                                                                                                                                                                                                                                                                                                                                                                                                                                                                                                                                                                                                                                                                                                                                                                                                                                                                                                                                                                                                                                                                                                                                                                                                                                                                                                                                                                                                                                                                                                                                                                                                                                                                                                                                                                                                                                                                                                                                                                                                                                                                                                                                                                                                                                                                                                                                                                                                                                                                                                                                                                                                                                                                                                                                                                                                                                                                                                                                                                                                                                                                                                                                                                                                                                                                                                                                                                                                                                                                                                                                                                                                                                                                                                                                                                                                                                                                                                                                                                                                     </t>
  </si>
  <si>
    <t>loess</t>
  </si>
  <si>
    <t>lake levels</t>
  </si>
  <si>
    <t>carbon dioxide</t>
  </si>
  <si>
    <t>age control</t>
  </si>
  <si>
    <t xml:space="preserve">charcoal sediment                                                                                                                                                                                                                                                                                                                                                                                                                                                                                                                                                                                                                                                                                                                                                                                                                                                                                                                                                                                                                                                                                                                                                                                                                                                                                                                                                                                                                                                                                                                                                                                                                                                                                                                                                                                                                                                                                                                                                                                                                                                                                                                                                                                                                                                                                                                                                                                                                                                                                                                                                                                                                                                                                                                                                                                                                                                                                                                                                                                                                                                                                                                                                                                                                                                                                                                                                                                                                                                                                                                                                                                                                                                                                                                                                                                                                                                                                                                                                                                                                                                                                                                                            </t>
  </si>
  <si>
    <t>document</t>
  </si>
  <si>
    <t>population abundance</t>
  </si>
  <si>
    <t>atmosphere model</t>
  </si>
  <si>
    <t>air temperature</t>
  </si>
  <si>
    <t>carbon isotopes</t>
  </si>
  <si>
    <t>atmospheric temperature</t>
  </si>
  <si>
    <t>No Keywords available</t>
  </si>
  <si>
    <t>Select one</t>
  </si>
  <si>
    <t>other</t>
  </si>
  <si>
    <t>solar</t>
  </si>
  <si>
    <t>establishment dates</t>
  </si>
  <si>
    <t>weather observation</t>
  </si>
  <si>
    <t>atmospheric gas</t>
  </si>
  <si>
    <t>land model</t>
  </si>
  <si>
    <t>biomarkers</t>
  </si>
  <si>
    <t>precipitation</t>
  </si>
  <si>
    <t>density</t>
  </si>
  <si>
    <t>Borehole</t>
  </si>
  <si>
    <t>volcanic</t>
  </si>
  <si>
    <t>population count</t>
  </si>
  <si>
    <t>fire scar dates</t>
  </si>
  <si>
    <t>phenology</t>
  </si>
  <si>
    <t>borehole measurements</t>
  </si>
  <si>
    <t>ocean model</t>
  </si>
  <si>
    <t>geochemistry</t>
  </si>
  <si>
    <t>ground water</t>
  </si>
  <si>
    <t>hydrogen isotopes</t>
  </si>
  <si>
    <t>pressure</t>
  </si>
  <si>
    <t>Climate Forcing</t>
  </si>
  <si>
    <t>oxygen isotopes</t>
  </si>
  <si>
    <t>ship logs</t>
  </si>
  <si>
    <t>other model</t>
  </si>
  <si>
    <t>lake level</t>
  </si>
  <si>
    <t>lithology</t>
  </si>
  <si>
    <t>cryosphere</t>
  </si>
  <si>
    <t>Climate Reconstructions</t>
  </si>
  <si>
    <t>trace metals</t>
  </si>
  <si>
    <t>crop harvests</t>
  </si>
  <si>
    <t>chemistry</t>
  </si>
  <si>
    <t>sea ice model</t>
  </si>
  <si>
    <t>salinity</t>
  </si>
  <si>
    <t xml:space="preserve">width                                                                                                                                                                                                                                                                                                                                                                                                                                                                                                                                                                                                                                                                                                                                                                                                                                                                                                                                                                                                                                                                                                                                                                                                                                                                                                                                                                                                                                                                                                                                                                                                                                                                                                                                                                                                                                                                                                                                                                                                                                                                                                                                                                                                                                                                                                                                                                                                                                                                                                                                                                                                                                                                                                                                                                                                                                                                                                                                                                                                                                                                                                                                                                                                                                                                                                                                                                                                                                                                                                                                                                                                                                                                                                                                                                                                                                                                                                                                                                                                                                                                                                                                                        </t>
  </si>
  <si>
    <t>Corals and Sclerosponges</t>
  </si>
  <si>
    <t>instrumental data</t>
  </si>
  <si>
    <t>magnetic susceptibility</t>
  </si>
  <si>
    <t>sea level</t>
  </si>
  <si>
    <t>Fauna</t>
  </si>
  <si>
    <t>mineralogy</t>
  </si>
  <si>
    <t>nitrogen isotopes</t>
  </si>
  <si>
    <t>atmospheric circulation</t>
  </si>
  <si>
    <t>Fire History</t>
  </si>
  <si>
    <t>reconstruction</t>
  </si>
  <si>
    <t>vegetation</t>
  </si>
  <si>
    <t>Historical</t>
  </si>
  <si>
    <t>Ice Cores</t>
  </si>
  <si>
    <t>radiogenic isotope</t>
  </si>
  <si>
    <t>streamflow</t>
  </si>
  <si>
    <t>Insect</t>
  </si>
  <si>
    <t>trace metals in carbonates</t>
  </si>
  <si>
    <t>solar radiation</t>
  </si>
  <si>
    <t>Instrumental</t>
  </si>
  <si>
    <t>ice extent</t>
  </si>
  <si>
    <t>Lake Levels</t>
  </si>
  <si>
    <t>Loess</t>
  </si>
  <si>
    <t>accumulation</t>
  </si>
  <si>
    <t>lake salinity</t>
  </si>
  <si>
    <t>pH</t>
  </si>
  <si>
    <t>equilibrium line altitude</t>
  </si>
  <si>
    <t>sea ice</t>
  </si>
  <si>
    <t>Plant Macrofossils</t>
  </si>
  <si>
    <t>ice elevation</t>
  </si>
  <si>
    <t>Pollen</t>
  </si>
  <si>
    <t>pseudo proxy</t>
  </si>
  <si>
    <t>Speleothems</t>
  </si>
  <si>
    <t>Tree Ring</t>
  </si>
  <si>
    <t>Other Collections</t>
  </si>
  <si>
    <t xml:space="preserve">loess                                                                                                                                                                                                                                                                                                                                                                                                                                                                                                                                                                                                                                                                                                                                                                                                                                                                                                                                                                                                                                                                                                                                                                                                                                                                                                                                                                                                                                                                                                                                                                                                                                                                                                                                                                                                                                                                                                                                                                                                                                                                                                                                                                                                                                                                                                                                                                                                                                                                                                                                                                                                                                                                                                                                                                                                                                                                                                                                                                                                                                                                                                                                                                                                                                                                                                                                                                                                                                                                                                                                                                                                                                                                                                                                                                                                                                                                                                                                                                                                                                                                                                                                                            </t>
  </si>
  <si>
    <t xml:space="preserve">lake levels                                                                                                                                                                                                                                                                                                                                                                                                                                                                                                                                                                                                                                                                                                                                                                                                                                                                                                                                                                                                                                                                                                                                                                                                                                                                                                                                                                                                                                                                                                                                                                                                                                                                                                                                                                                                                                                                                                                                                                                                                                                                                                                                                                                                                                                                                                                                                                                                                                                                                                                                                                                                                                                                                                                                                                                                                                                                                                                                                                                                                                                                                                                                                                                                                                                                                                                                                                                                                                                                                                                                                                                                                                                                                                                                                                                                                                                                                                                                                                                                                                                                                                                                                      </t>
  </si>
  <si>
    <t xml:space="preserve">others                                                                                                                                                                                                                                                                                                                                                                                                                                                                                                                                                                                                                                                                                                                                                                                                                                                                                                                                                                                                                                                                                                                                                                                                                                                                                                                                                                                                                                                                                                                                                                                                                                                                                                                                                                                                                                                                                                                                                                                                                                                                                                                                                                                                                                                                                                                                                                                                                                                                                                                                                                                                                                                                                                                                                                                                                                                                                                                                                                                                                                                                                                                                                                                                                                                                                                                                                                                                                                                                                                                                                                                                                                                                                                                                                                                                                                                                                                                                                                                                                                                                                                                                                           </t>
  </si>
  <si>
    <t xml:space="preserve">software                                                                                                                                                                                                                                                                                                                                                                                                                                                                                                                                                                                                                                                                                                                                                                                                                                                                                                                                                                                                                                                                                                                                                                                                                                                                                                                                                                                                                                                                                                                                                                                                                                                                                                                                                                                                                                                                                                                                                                                                                                                                                                                                                                                                                                                                                                                                                                                                                                                                                                                                                                                                                                                                                                                                                                                                                                                                                                                                                                                                                                                                                                                                                                                                                                                                                                                                                                                                                                                                                                                                                                                                                                                                                                                                                                                                                                                                                                                                                                                                                                                                                                                                                         </t>
  </si>
  <si>
    <t xml:space="preserve">database                                                                                                                                                                                                                                                                                                                                                                                                                                                                                                                                                                                                                                                                                                                                                                                                                                                                                                                                                                                                                                                                                                                                                                                                                                                                                                                                                                                                                                                                                                                                                                                                                                                                                                                                                                                                                                                                                                                                                                                                                                                                                                                                                                                                                                                                                                                                                                                                                                                                                                                                                                                                                                                                                                                                                                                                                                                                                                                                                                                                                                                                                                                                                                                                                                                                                                                                                                                                                                                                                                                                                                                                                                                                                                                                                                                                                                                                                                                                                                                                                                                                                                                                                         </t>
  </si>
  <si>
    <t xml:space="preserve">repository </t>
  </si>
  <si>
    <t>Select Keyword(s)</t>
  </si>
  <si>
    <t>Air Temperature Reconstruction</t>
  </si>
  <si>
    <t>Arctic</t>
  </si>
  <si>
    <t>Atmospheric Gas Reconstruction</t>
  </si>
  <si>
    <t>Atmospheric and Oceanic Circulation Patterns Reconstruction</t>
  </si>
  <si>
    <t>ENSO</t>
  </si>
  <si>
    <t>Earth Surface Conditions Reconstruction</t>
  </si>
  <si>
    <t>Glacial</t>
  </si>
  <si>
    <t>Glaciers and Ice Sheets Reconstruction</t>
  </si>
  <si>
    <t>Hadley Circulation</t>
  </si>
  <si>
    <t>Heinrich Events</t>
  </si>
  <si>
    <t>Hurricanes and Tropical Cyclones Reconstruction</t>
  </si>
  <si>
    <t>Interglacial</t>
  </si>
  <si>
    <t>Last Glacial Maximum</t>
  </si>
  <si>
    <t>Last Interglacial</t>
  </si>
  <si>
    <t>Medieval Warm Period</t>
  </si>
  <si>
    <t>Milankovitch</t>
  </si>
  <si>
    <t>Monsoon</t>
  </si>
  <si>
    <t>North Atlantic Oscillation</t>
  </si>
  <si>
    <t>Other Reconstruction</t>
  </si>
  <si>
    <t>PAGES 2k Network</t>
  </si>
  <si>
    <t>PAGES Africa 2k</t>
  </si>
  <si>
    <t>PAGES Antarctica 2k</t>
  </si>
  <si>
    <t>PAGES Arctic 2k</t>
  </si>
  <si>
    <t>PAGES Asia 2k</t>
  </si>
  <si>
    <t>PAGES NAmerica 2k</t>
  </si>
  <si>
    <t>Pacific Decadal Oscillation</t>
  </si>
  <si>
    <t>Palmer Drought Index Reconstruction</t>
  </si>
  <si>
    <t>Precipitation Reconstruction</t>
  </si>
  <si>
    <t>Sea Ice Reconstruction</t>
  </si>
  <si>
    <t>Sea Level Reconstruction</t>
  </si>
  <si>
    <t>Sea Surface Temperature Reconstruction</t>
  </si>
  <si>
    <t>Solar Forcing Reconstruction</t>
  </si>
  <si>
    <t>Streamflow Reconstruction</t>
  </si>
  <si>
    <t>Tropics</t>
  </si>
  <si>
    <t>Vegetation Reconstruction</t>
  </si>
  <si>
    <t>Warm Pool</t>
  </si>
  <si>
    <t>Younger Dryas</t>
  </si>
  <si>
    <t>abrupt climate change</t>
  </si>
  <si>
    <t>biogeochemical cycles</t>
  </si>
  <si>
    <t>biogeography</t>
  </si>
  <si>
    <t>carbon cycle</t>
  </si>
  <si>
    <t>centennial resolution</t>
  </si>
  <si>
    <t>decadal resolution</t>
  </si>
  <si>
    <t>drought</t>
  </si>
  <si>
    <t>hydrology</t>
  </si>
  <si>
    <t>millennial resolution</t>
  </si>
  <si>
    <t>ocean acidification</t>
  </si>
  <si>
    <t>sensitivity</t>
  </si>
  <si>
    <t>thermal maximum</t>
  </si>
  <si>
    <t>trends</t>
  </si>
  <si>
    <t>westerlies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</si>
</sst>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Calibri"/>
      <family val="2"/>
      <scheme val="minor"/>
    </font>
    <font>
      <sz val="11"/>
      <color rgb="FF9C5700"/>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0"/>
      <color theme="1"/>
      <name val="Calibri"/>
      <family val="2"/>
      <scheme val="minor"/>
    </font>
    <font>
      <b/>
      <sz val="11"/>
      <color rgb="FFFF0000"/>
      <name val="Calibri"/>
      <family val="2"/>
      <scheme val="minor"/>
    </font>
    <font>
      <u/>
      <sz val="11"/>
      <color theme="10"/>
      <name val="Calibri"/>
      <family val="2"/>
      <scheme val="minor"/>
    </font>
    <font>
      <sz val="10"/>
      <color theme="1"/>
      <name val="Arial Unicode MS"/>
      <family val="2"/>
    </font>
    <font>
      <b/>
      <sz val="10"/>
      <color theme="0"/>
      <name val="Calibri"/>
      <family val="2"/>
      <scheme val="minor"/>
    </font>
    <font>
      <sz val="10"/>
      <color rgb="FF9C5700"/>
      <name val="Calibri"/>
      <family val="2"/>
      <scheme val="minor"/>
    </font>
    <font>
      <u/>
      <sz val="10"/>
      <color theme="10"/>
      <name val="Calibri"/>
      <family val="2"/>
      <scheme val="minor"/>
    </font>
    <font>
      <sz val="10"/>
      <name val="Calibri"/>
      <family val="2"/>
      <scheme val="minor"/>
    </font>
    <font>
      <sz val="11"/>
      <color rgb="FF3F3F76"/>
      <name val="Calibri"/>
      <family val="2"/>
      <scheme val="minor"/>
    </font>
    <font>
      <sz val="11"/>
      <name val="Calibri"/>
      <family val="2"/>
      <scheme val="minor"/>
    </font>
    <font>
      <sz val="10"/>
      <name val="Arial"/>
      <family val="2"/>
    </font>
    <font>
      <sz val="10"/>
      <color indexed="8"/>
      <name val="Arial"/>
      <family val="2"/>
    </font>
  </fonts>
  <fills count="6">
    <fill>
      <patternFill patternType="none"/>
    </fill>
    <fill>
      <patternFill patternType="gray125"/>
    </fill>
    <fill>
      <patternFill patternType="solid">
        <fgColor rgb="FFFFEB9C"/>
      </patternFill>
    </fill>
    <fill>
      <patternFill patternType="solid">
        <fgColor rgb="FFA5A5A5"/>
      </patternFill>
    </fill>
    <fill>
      <patternFill patternType="solid">
        <fgColor theme="0" tint="-0.14996795556505021"/>
        <bgColor indexed="64"/>
      </patternFill>
    </fill>
    <fill>
      <patternFill patternType="solid">
        <fgColor rgb="FFFFCC99"/>
      </patternFill>
    </fill>
  </fills>
  <borders count="4">
    <border>
      <left/>
      <right/>
      <top/>
      <bottom/>
      <diagonal/>
    </border>
    <border>
      <left style="double">
        <color rgb="FF3F3F3F"/>
      </left>
      <right style="double">
        <color rgb="FF3F3F3F"/>
      </right>
      <top style="double">
        <color rgb="FF3F3F3F"/>
      </top>
      <bottom style="double">
        <color rgb="FF3F3F3F"/>
      </bottom>
      <diagonal/>
    </border>
    <border>
      <left style="double">
        <color rgb="FF3F3F3F"/>
      </left>
      <right style="double">
        <color rgb="FF3F3F3F"/>
      </right>
      <top/>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1" fillId="2" borderId="0" applyNumberFormat="0" applyBorder="0" applyAlignment="0" applyProtection="0"/>
    <xf numFmtId="0" fontId="2" fillId="3" borderId="1" applyNumberFormat="0" applyAlignment="0" applyProtection="0"/>
    <xf numFmtId="0" fontId="7" fillId="0" borderId="0" applyNumberFormat="0" applyFill="0" applyBorder="0" applyAlignment="0" applyProtection="0"/>
    <xf numFmtId="0" fontId="13" fillId="5" borderId="3" applyNumberFormat="0" applyAlignment="0" applyProtection="0"/>
    <xf numFmtId="0" fontId="15" fillId="0" borderId="0"/>
  </cellStyleXfs>
  <cellXfs count="38">
    <xf numFmtId="0" fontId="0" fillId="0" borderId="0" xfId="0"/>
    <xf numFmtId="0" fontId="0" fillId="4" borderId="0" xfId="0" applyFill="1"/>
    <xf numFmtId="0" fontId="5" fillId="4" borderId="0" xfId="0" applyFont="1" applyFill="1"/>
    <xf numFmtId="0" fontId="3" fillId="0" borderId="0" xfId="0" applyFont="1"/>
    <xf numFmtId="0" fontId="2" fillId="3" borderId="1" xfId="2"/>
    <xf numFmtId="0" fontId="1" fillId="2" borderId="0" xfId="1"/>
    <xf numFmtId="0" fontId="0" fillId="4" borderId="0" xfId="0" applyFill="1" applyProtection="1">
      <protection locked="0"/>
    </xf>
    <xf numFmtId="0" fontId="0" fillId="0" borderId="0" xfId="0" applyProtection="1">
      <protection locked="0"/>
    </xf>
    <xf numFmtId="0" fontId="4" fillId="0" borderId="0" xfId="0" applyFont="1"/>
    <xf numFmtId="0" fontId="1" fillId="2" borderId="2" xfId="1" applyBorder="1" applyAlignment="1"/>
    <xf numFmtId="0" fontId="2" fillId="3" borderId="1" xfId="2" applyAlignment="1">
      <alignment horizontal="center"/>
    </xf>
    <xf numFmtId="0" fontId="2" fillId="3" borderId="1" xfId="2" applyAlignment="1"/>
    <xf numFmtId="0" fontId="3" fillId="0" borderId="0" xfId="0" applyFont="1" applyAlignment="1">
      <alignment horizontal="left"/>
    </xf>
    <xf numFmtId="0" fontId="0" fillId="0" borderId="0" xfId="0" applyAlignment="1">
      <alignment horizontal="left"/>
    </xf>
    <xf numFmtId="0" fontId="0" fillId="0" borderId="0" xfId="0" applyAlignment="1">
      <alignment horizontal="center"/>
    </xf>
    <xf numFmtId="0" fontId="0" fillId="0" borderId="0" xfId="0" applyAlignment="1">
      <alignment horizontal="left" wrapText="1"/>
    </xf>
    <xf numFmtId="0" fontId="0" fillId="0" borderId="0" xfId="0" applyAlignment="1">
      <alignment wrapText="1"/>
    </xf>
    <xf numFmtId="1" fontId="0" fillId="0" borderId="0" xfId="0" applyNumberFormat="1" applyAlignment="1">
      <alignment horizontal="center"/>
    </xf>
    <xf numFmtId="0" fontId="0" fillId="0" borderId="0" xfId="0" applyAlignment="1">
      <alignment horizontal="center" wrapText="1"/>
    </xf>
    <xf numFmtId="0" fontId="8" fillId="0" borderId="0" xfId="0" applyFont="1" applyAlignment="1">
      <alignment vertical="center"/>
    </xf>
    <xf numFmtId="0" fontId="9" fillId="3" borderId="1" xfId="2" applyFont="1"/>
    <xf numFmtId="0" fontId="10" fillId="2" borderId="0" xfId="1" applyFont="1"/>
    <xf numFmtId="0" fontId="5" fillId="0" borderId="0" xfId="0" applyFont="1"/>
    <xf numFmtId="0" fontId="11" fillId="0" borderId="0" xfId="3" applyFont="1"/>
    <xf numFmtId="0" fontId="9" fillId="3" borderId="1" xfId="2" applyFont="1" applyAlignment="1">
      <alignment horizontal="center"/>
    </xf>
    <xf numFmtId="0" fontId="9" fillId="3" borderId="1" xfId="2" applyFont="1" applyAlignment="1"/>
    <xf numFmtId="0" fontId="12" fillId="0" borderId="0" xfId="0" applyFont="1"/>
    <xf numFmtId="2" fontId="5" fillId="0" borderId="0" xfId="0" applyNumberFormat="1" applyFont="1"/>
    <xf numFmtId="0" fontId="13" fillId="5" borderId="3" xfId="4"/>
    <xf numFmtId="0" fontId="14" fillId="0" borderId="0" xfId="0" applyFont="1"/>
    <xf numFmtId="1" fontId="0" fillId="0" borderId="0" xfId="0" applyNumberFormat="1"/>
    <xf numFmtId="1" fontId="2" fillId="3" borderId="1" xfId="2" applyNumberFormat="1" applyAlignment="1">
      <alignment horizontal="center"/>
    </xf>
    <xf numFmtId="1" fontId="13" fillId="5" borderId="3" xfId="4" applyNumberFormat="1"/>
    <xf numFmtId="2" fontId="0" fillId="0" borderId="0" xfId="0" applyNumberFormat="1"/>
    <xf numFmtId="0" fontId="15" fillId="0" borderId="0" xfId="5"/>
    <xf numFmtId="0" fontId="16" fillId="0" borderId="0" xfId="5" applyFont="1"/>
    <xf numFmtId="14" fontId="0" fillId="0" borderId="0" xfId="0" applyNumberFormat="1"/>
    <xf numFmtId="0" fontId="7" fillId="0" borderId="0" xfId="3"/>
  </cellXfs>
  <cellStyles count="6">
    <cellStyle name="Check Cell" xfId="2" builtinId="23"/>
    <cellStyle name="Hyperlink" xfId="3" builtinId="8"/>
    <cellStyle name="Input" xfId="4" builtinId="20"/>
    <cellStyle name="Neutral" xfId="1" builtinId="28"/>
    <cellStyle name="Normal" xfId="0" builtinId="0"/>
    <cellStyle name="Standard 2" xfId="5" xr:uid="{7708B786-CCB4-4AD5-AE97-C05D0C515C9A}"/>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hyperlink" Target="https://doi.org/10.1139/cjes-2023-0094" TargetMode="External"/><Relationship Id="rId1" Type="http://schemas.openxmlformats.org/officeDocument/2006/relationships/hyperlink" Target="https://zenodo.org/records/10471593"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www1.ncdc.noaa.gov/pub/data/paleo/templates/Variable_naming_guide.pdf" TargetMode="External"/><Relationship Id="rId1" Type="http://schemas.openxmlformats.org/officeDocument/2006/relationships/hyperlink" Target="https://www.ncdc.noaa.gov/paleo-search/cvterms"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0F3EE8-EE72-4DC2-B3A8-170C95E7DD26}">
  <sheetPr codeName="Sheet12"/>
  <dimension ref="A1:A13"/>
  <sheetViews>
    <sheetView workbookViewId="0">
      <selection activeCell="B15" sqref="B15"/>
    </sheetView>
  </sheetViews>
  <sheetFormatPr defaultRowHeight="14.45"/>
  <sheetData>
    <row r="1" spans="1:1">
      <c r="A1" t="s">
        <v>0</v>
      </c>
    </row>
    <row r="2" spans="1:1">
      <c r="A2" t="s">
        <v>1</v>
      </c>
    </row>
    <row r="4" spans="1:1">
      <c r="A4" t="s">
        <v>2</v>
      </c>
    </row>
    <row r="5" spans="1:1">
      <c r="A5" t="s">
        <v>3</v>
      </c>
    </row>
    <row r="6" spans="1:1">
      <c r="A6" t="s">
        <v>4</v>
      </c>
    </row>
    <row r="7" spans="1:1">
      <c r="A7" t="s">
        <v>5</v>
      </c>
    </row>
    <row r="8" spans="1:1">
      <c r="A8" t="s">
        <v>6</v>
      </c>
    </row>
    <row r="9" spans="1:1">
      <c r="A9" t="s">
        <v>7</v>
      </c>
    </row>
    <row r="10" spans="1:1">
      <c r="A10" t="s">
        <v>8</v>
      </c>
    </row>
    <row r="11" spans="1:1">
      <c r="A11" s="36" t="s">
        <v>9</v>
      </c>
    </row>
    <row r="12" spans="1:1">
      <c r="A12" t="s">
        <v>10</v>
      </c>
    </row>
    <row r="13" spans="1:1">
      <c r="A13" t="s">
        <v>11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59189A-17CD-4F62-9A69-8A734F54187E}">
  <sheetPr codeName="Sheet1"/>
  <dimension ref="A1:E51"/>
  <sheetViews>
    <sheetView tabSelected="1" workbookViewId="0">
      <selection activeCell="B8" sqref="B8"/>
    </sheetView>
  </sheetViews>
  <sheetFormatPr defaultRowHeight="14.45"/>
  <cols>
    <col min="1" max="1" width="57.42578125" customWidth="1"/>
    <col min="2" max="2" width="31.140625" customWidth="1"/>
    <col min="3" max="3" width="21.140625" customWidth="1"/>
    <col min="4" max="4" width="23.42578125" customWidth="1"/>
    <col min="5" max="5" width="19.140625" customWidth="1"/>
  </cols>
  <sheetData>
    <row r="1" spans="1:5">
      <c r="A1" t="s">
        <v>12</v>
      </c>
    </row>
    <row r="2" spans="1:5" ht="15">
      <c r="A2" s="1" t="s">
        <v>13</v>
      </c>
      <c r="B2" t="s">
        <v>14</v>
      </c>
    </row>
    <row r="3" spans="1:5" ht="15">
      <c r="A3" s="1" t="s">
        <v>15</v>
      </c>
      <c r="B3" s="37" t="s">
        <v>16</v>
      </c>
    </row>
    <row r="4" spans="1:5">
      <c r="A4" s="1" t="s">
        <v>17</v>
      </c>
      <c r="B4" t="s">
        <v>18</v>
      </c>
    </row>
    <row r="5" spans="1:5">
      <c r="A5" s="1" t="s">
        <v>19</v>
      </c>
      <c r="B5" t="s">
        <v>20</v>
      </c>
      <c r="D5" s="5" t="s">
        <v>21</v>
      </c>
    </row>
    <row r="6" spans="1:5">
      <c r="A6" s="1" t="s">
        <v>22</v>
      </c>
      <c r="B6" t="s">
        <v>23</v>
      </c>
      <c r="C6" s="2" t="s">
        <v>24</v>
      </c>
      <c r="D6" t="s">
        <v>25</v>
      </c>
      <c r="E6" s="3"/>
    </row>
    <row r="7" spans="1:5">
      <c r="A7" s="1" t="s">
        <v>26</v>
      </c>
      <c r="B7" t="s">
        <v>27</v>
      </c>
    </row>
    <row r="8" spans="1:5" ht="15">
      <c r="A8" s="1" t="s">
        <v>28</v>
      </c>
      <c r="B8" t="s">
        <v>29</v>
      </c>
    </row>
    <row r="9" spans="1:5">
      <c r="A9" s="1" t="s">
        <v>30</v>
      </c>
    </row>
    <row r="10" spans="1:5" ht="15" thickBot="1"/>
    <row r="11" spans="1:5" ht="15.6" thickTop="1" thickBot="1">
      <c r="A11" s="4" t="s">
        <v>31</v>
      </c>
      <c r="B11" s="5" t="s">
        <v>32</v>
      </c>
    </row>
    <row r="12" spans="1:5" ht="15" thickTop="1">
      <c r="A12" s="1" t="s">
        <v>33</v>
      </c>
      <c r="B12" t="s">
        <v>34</v>
      </c>
    </row>
    <row r="13" spans="1:5">
      <c r="A13" s="1" t="s">
        <v>35</v>
      </c>
      <c r="B13" t="s">
        <v>36</v>
      </c>
    </row>
    <row r="14" spans="1:5" ht="15">
      <c r="A14" s="1" t="s">
        <v>37</v>
      </c>
      <c r="B14" t="s">
        <v>38</v>
      </c>
    </row>
    <row r="15" spans="1:5">
      <c r="A15" s="1" t="s">
        <v>39</v>
      </c>
    </row>
    <row r="16" spans="1:5">
      <c r="A16" s="1" t="s">
        <v>40</v>
      </c>
    </row>
    <row r="17" spans="1:3">
      <c r="A17" s="1" t="s">
        <v>41</v>
      </c>
    </row>
    <row r="18" spans="1:3">
      <c r="A18" s="1" t="s">
        <v>42</v>
      </c>
    </row>
    <row r="19" spans="1:3">
      <c r="A19" s="1" t="s">
        <v>43</v>
      </c>
    </row>
    <row r="20" spans="1:3">
      <c r="A20" s="1" t="s">
        <v>44</v>
      </c>
    </row>
    <row r="21" spans="1:3" ht="15">
      <c r="A21" s="1" t="s">
        <v>45</v>
      </c>
      <c r="B21" s="37" t="s">
        <v>46</v>
      </c>
    </row>
    <row r="22" spans="1:3">
      <c r="A22" s="1" t="s">
        <v>47</v>
      </c>
    </row>
    <row r="23" spans="1:3" ht="15">
      <c r="A23" s="1" t="s">
        <v>48</v>
      </c>
      <c r="B23" t="s">
        <v>49</v>
      </c>
    </row>
    <row r="24" spans="1:3">
      <c r="A24" s="1" t="s">
        <v>50</v>
      </c>
    </row>
    <row r="25" spans="1:3" ht="15" thickBot="1"/>
    <row r="26" spans="1:3" ht="15.6" thickTop="1" thickBot="1">
      <c r="A26" s="4" t="s">
        <v>51</v>
      </c>
      <c r="B26" s="5" t="s">
        <v>52</v>
      </c>
    </row>
    <row r="27" spans="1:3" ht="15" thickTop="1">
      <c r="A27" s="1" t="s">
        <v>53</v>
      </c>
      <c r="B27" t="s">
        <v>54</v>
      </c>
    </row>
    <row r="28" spans="1:3">
      <c r="A28" s="1" t="s">
        <v>55</v>
      </c>
      <c r="B28" t="s">
        <v>56</v>
      </c>
    </row>
    <row r="29" spans="1:3">
      <c r="A29" s="1" t="s">
        <v>57</v>
      </c>
      <c r="B29">
        <v>52.774790000000003</v>
      </c>
    </row>
    <row r="30" spans="1:3">
      <c r="A30" s="1" t="s">
        <v>58</v>
      </c>
      <c r="B30">
        <v>52.774790000000003</v>
      </c>
      <c r="C30" s="5" t="s">
        <v>59</v>
      </c>
    </row>
    <row r="31" spans="1:3">
      <c r="A31" s="1" t="s">
        <v>60</v>
      </c>
      <c r="B31">
        <v>-121.34654</v>
      </c>
    </row>
    <row r="32" spans="1:3">
      <c r="A32" s="1" t="s">
        <v>61</v>
      </c>
      <c r="B32">
        <v>-121.34654</v>
      </c>
      <c r="C32" s="5" t="s">
        <v>62</v>
      </c>
    </row>
    <row r="33" spans="1:4">
      <c r="A33" s="1" t="s">
        <v>63</v>
      </c>
      <c r="B33">
        <v>800</v>
      </c>
    </row>
    <row r="34" spans="1:4" ht="15" thickBot="1"/>
    <row r="35" spans="1:4" ht="15.6" thickTop="1" thickBot="1">
      <c r="A35" s="4" t="s">
        <v>64</v>
      </c>
    </row>
    <row r="36" spans="1:4" ht="15" thickTop="1">
      <c r="A36" s="1" t="s">
        <v>65</v>
      </c>
      <c r="B36" t="s">
        <v>66</v>
      </c>
    </row>
    <row r="37" spans="1:4" ht="15">
      <c r="A37" s="1" t="s">
        <v>67</v>
      </c>
      <c r="B37" s="16">
        <v>2005.518</v>
      </c>
    </row>
    <row r="38" spans="1:4" ht="15">
      <c r="A38" s="1" t="s">
        <v>68</v>
      </c>
      <c r="B38">
        <v>-67</v>
      </c>
      <c r="D38" s="5" t="s">
        <v>69</v>
      </c>
    </row>
    <row r="39" spans="1:4" ht="15">
      <c r="A39" s="1" t="s">
        <v>70</v>
      </c>
      <c r="B39" t="s">
        <v>71</v>
      </c>
      <c r="C39" s="1" t="s">
        <v>72</v>
      </c>
      <c r="D39" t="s">
        <v>73</v>
      </c>
    </row>
    <row r="40" spans="1:4" ht="15">
      <c r="A40" s="1" t="s">
        <v>74</v>
      </c>
      <c r="B40" t="s">
        <v>73</v>
      </c>
    </row>
    <row r="41" spans="1:4" ht="15">
      <c r="A41" s="1" t="s">
        <v>75</v>
      </c>
      <c r="B41" t="s">
        <v>76</v>
      </c>
    </row>
    <row r="42" spans="1:4" ht="15">
      <c r="A42" s="1" t="s">
        <v>77</v>
      </c>
      <c r="B42">
        <v>2.9009999999999998</v>
      </c>
    </row>
    <row r="43" spans="1:4" ht="15" thickBot="1"/>
    <row r="44" spans="1:4" ht="15.6" thickTop="1" thickBot="1">
      <c r="A44" s="4" t="s">
        <v>78</v>
      </c>
      <c r="B44" s="5" t="s">
        <v>79</v>
      </c>
    </row>
    <row r="45" spans="1:4" ht="15" thickTop="1">
      <c r="A45" s="1" t="s">
        <v>80</v>
      </c>
    </row>
    <row r="46" spans="1:4">
      <c r="A46" s="1" t="s">
        <v>81</v>
      </c>
    </row>
    <row r="47" spans="1:4">
      <c r="A47" s="1" t="s">
        <v>82</v>
      </c>
    </row>
    <row r="48" spans="1:4" ht="15" thickBot="1"/>
    <row r="49" spans="1:2" ht="15.6" thickTop="1" thickBot="1">
      <c r="A49" s="4" t="s">
        <v>83</v>
      </c>
      <c r="B49" s="5" t="s">
        <v>84</v>
      </c>
    </row>
    <row r="50" spans="1:2" ht="15" thickTop="1">
      <c r="A50" s="1" t="s">
        <v>85</v>
      </c>
    </row>
    <row r="51" spans="1:2">
      <c r="A51" s="1" t="s">
        <v>86</v>
      </c>
    </row>
  </sheetData>
  <dataValidations count="2">
    <dataValidation type="list" allowBlank="1" showInputMessage="1" showErrorMessage="1" sqref="D39:D40" xr:uid="{C4BE6FAB-1D5E-4469-B1B0-BCD6AF72823A}">
      <formula1>INDIRECT(SUBSTITUTE($B$6," ","_"))</formula1>
    </dataValidation>
    <dataValidation type="list" allowBlank="1" showInputMessage="1" showErrorMessage="1" sqref="B39" xr:uid="{94DA438E-A6B9-4F20-AFED-0174FC02B3A9}">
      <formula1>"Select unit,year Common Era,calendar year before present,radiocarbon year before present"</formula1>
    </dataValidation>
  </dataValidations>
  <hyperlinks>
    <hyperlink ref="B3" r:id="rId1" xr:uid="{835DF960-44FB-4943-B0B7-96DE761EC84A}"/>
    <hyperlink ref="B21" r:id="rId2" xr:uid="{0128B3D5-8FC9-458E-9086-74B4E1E77F9A}"/>
  </hyperlink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81011814-9A4A-4983-AA2D-EBC21A080811}">
          <x14:formula1>
            <xm:f>ProxyAndReconstructionInfo!$A$3:$A$23</xm:f>
          </x14:formula1>
          <xm:sqref>B6</xm:sqref>
        </x14:dataValidation>
        <x14:dataValidation type="list" allowBlank="1" showInputMessage="1" showErrorMessage="1" promptTitle="NOAA Science Keywords" prompt="List of Valid Keywords to use in Cell B7" xr:uid="{AE69DD90-E203-499A-AE17-560BD1122855}">
          <x14:formula1>
            <xm:f>NOAASciKeywords!A1:A89</xm:f>
          </x14:formula1>
          <xm:sqref>D6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AA6F96-0F62-464A-98FC-A38A48F61F85}">
  <sheetPr codeName="Sheet4"/>
  <dimension ref="A1:Q24"/>
  <sheetViews>
    <sheetView topLeftCell="A19" workbookViewId="0">
      <selection activeCell="J21" sqref="J21"/>
    </sheetView>
  </sheetViews>
  <sheetFormatPr defaultRowHeight="14.45"/>
  <cols>
    <col min="1" max="1" width="51.85546875" customWidth="1"/>
  </cols>
  <sheetData>
    <row r="1" spans="1:2" ht="15.6" thickTop="1" thickBot="1">
      <c r="A1" s="4" t="s">
        <v>87</v>
      </c>
      <c r="B1" s="5" t="s">
        <v>88</v>
      </c>
    </row>
    <row r="2" spans="1:2" ht="15" thickTop="1">
      <c r="A2" s="1" t="s">
        <v>89</v>
      </c>
    </row>
    <row r="3" spans="1:2">
      <c r="A3" s="1" t="s">
        <v>90</v>
      </c>
    </row>
    <row r="4" spans="1:2">
      <c r="A4" s="1" t="s">
        <v>91</v>
      </c>
      <c r="B4" s="5" t="s">
        <v>92</v>
      </c>
    </row>
    <row r="5" spans="1:2" ht="15">
      <c r="A5" t="s">
        <v>93</v>
      </c>
    </row>
    <row r="6" spans="1:2" ht="15">
      <c r="A6" t="s">
        <v>94</v>
      </c>
      <c r="B6" t="s">
        <v>95</v>
      </c>
    </row>
    <row r="7" spans="1:2" ht="15">
      <c r="A7" t="s">
        <v>96</v>
      </c>
      <c r="B7" t="s">
        <v>97</v>
      </c>
    </row>
    <row r="8" spans="1:2" ht="15">
      <c r="A8" t="s">
        <v>98</v>
      </c>
      <c r="B8" t="s">
        <v>99</v>
      </c>
    </row>
    <row r="9" spans="1:2" ht="15">
      <c r="A9" t="s">
        <v>100</v>
      </c>
      <c r="B9" t="s">
        <v>101</v>
      </c>
    </row>
    <row r="10" spans="1:2" ht="15">
      <c r="A10" t="s">
        <v>102</v>
      </c>
      <c r="B10" t="s">
        <v>103</v>
      </c>
    </row>
    <row r="11" spans="1:2" ht="15">
      <c r="A11" t="s">
        <v>104</v>
      </c>
      <c r="B11" t="s">
        <v>105</v>
      </c>
    </row>
    <row r="12" spans="1:2" ht="15">
      <c r="A12" t="s">
        <v>106</v>
      </c>
      <c r="B12" t="s">
        <v>107</v>
      </c>
    </row>
    <row r="13" spans="1:2" ht="15">
      <c r="A13" t="s">
        <v>108</v>
      </c>
      <c r="B13" t="s">
        <v>109</v>
      </c>
    </row>
    <row r="14" spans="1:2" ht="15">
      <c r="A14" t="s">
        <v>110</v>
      </c>
      <c r="B14" t="s">
        <v>111</v>
      </c>
    </row>
    <row r="15" spans="1:2" ht="15">
      <c r="A15" t="s">
        <v>112</v>
      </c>
      <c r="B15" t="s">
        <v>113</v>
      </c>
    </row>
    <row r="16" spans="1:2" ht="15">
      <c r="A16" t="s">
        <v>114</v>
      </c>
      <c r="B16" t="s">
        <v>115</v>
      </c>
    </row>
    <row r="17" spans="1:17" ht="15">
      <c r="A17" t="s">
        <v>116</v>
      </c>
      <c r="B17" t="s">
        <v>117</v>
      </c>
    </row>
    <row r="18" spans="1:17" ht="15">
      <c r="A18" t="s">
        <v>118</v>
      </c>
      <c r="B18" t="s">
        <v>75</v>
      </c>
    </row>
    <row r="19" spans="1:17" ht="15">
      <c r="A19" s="12"/>
      <c r="B19" s="3"/>
      <c r="C19" s="3"/>
      <c r="E19" s="3"/>
      <c r="F19" s="3"/>
      <c r="G19" s="3"/>
      <c r="H19" s="3"/>
      <c r="I19" s="3"/>
      <c r="J19" s="3"/>
      <c r="K19" s="3"/>
      <c r="L19" s="3"/>
      <c r="M19" s="3"/>
    </row>
    <row r="20" spans="1:17" ht="15">
      <c r="A20" s="13" t="s">
        <v>119</v>
      </c>
      <c r="B20" s="13" t="s">
        <v>96</v>
      </c>
      <c r="C20" s="13" t="s">
        <v>98</v>
      </c>
      <c r="D20" s="13" t="s">
        <v>120</v>
      </c>
      <c r="E20" s="13" t="s">
        <v>102</v>
      </c>
      <c r="F20" s="13" t="s">
        <v>121</v>
      </c>
      <c r="G20" s="13" t="s">
        <v>122</v>
      </c>
      <c r="H20" s="13" t="s">
        <v>108</v>
      </c>
      <c r="I20" s="13" t="s">
        <v>110</v>
      </c>
      <c r="J20" s="13" t="s">
        <v>112</v>
      </c>
      <c r="K20" s="13" t="s">
        <v>123</v>
      </c>
      <c r="L20" s="13" t="s">
        <v>116</v>
      </c>
      <c r="M20" s="13" t="s">
        <v>118</v>
      </c>
    </row>
    <row r="21" spans="1:17" ht="351">
      <c r="A21" s="15" t="s">
        <v>124</v>
      </c>
      <c r="B21" s="18">
        <v>281.30829999999997</v>
      </c>
      <c r="C21" s="18">
        <v>281.30829999999997</v>
      </c>
      <c r="D21" s="15" t="s">
        <v>125</v>
      </c>
      <c r="E21" s="15">
        <v>2020</v>
      </c>
      <c r="F21" s="15">
        <v>28</v>
      </c>
      <c r="G21" s="13" t="s">
        <v>126</v>
      </c>
      <c r="H21" s="18">
        <v>1958</v>
      </c>
      <c r="I21" s="18">
        <v>2040</v>
      </c>
      <c r="J21" s="18">
        <v>1870</v>
      </c>
      <c r="K21" s="15" t="s">
        <v>127</v>
      </c>
      <c r="L21" s="15" t="s">
        <v>128</v>
      </c>
      <c r="M21" s="15"/>
    </row>
    <row r="24" spans="1:17">
      <c r="A24" s="12"/>
      <c r="B24" s="3"/>
      <c r="C24" s="3"/>
      <c r="E24" s="3"/>
      <c r="F24" s="3"/>
      <c r="G24" s="3"/>
      <c r="H24" s="3"/>
      <c r="I24" s="3"/>
      <c r="J24" s="3"/>
      <c r="K24" s="3"/>
      <c r="L24" s="3"/>
      <c r="M24" s="3"/>
      <c r="N24" s="3"/>
      <c r="O24" s="3"/>
      <c r="P24" s="3"/>
      <c r="Q24" s="3"/>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E77F6-CD2D-493B-B6C5-E50240AA8703}">
  <sheetPr codeName="Sheet5"/>
  <dimension ref="A1:Q1476"/>
  <sheetViews>
    <sheetView workbookViewId="0">
      <selection activeCell="A22" sqref="A22:Q1476"/>
    </sheetView>
  </sheetViews>
  <sheetFormatPr defaultRowHeight="14.45"/>
  <cols>
    <col min="1" max="1" width="16" customWidth="1"/>
    <col min="6" max="6" width="10.5703125" customWidth="1"/>
    <col min="7" max="7" width="10.85546875" customWidth="1"/>
    <col min="8" max="8" width="9.42578125" customWidth="1"/>
    <col min="10" max="10" width="12.42578125" customWidth="1"/>
    <col min="11" max="11" width="20.5703125" customWidth="1"/>
  </cols>
  <sheetData>
    <row r="1" spans="1:13" ht="15">
      <c r="A1" s="4" t="s">
        <v>129</v>
      </c>
      <c r="B1" s="5" t="s">
        <v>130</v>
      </c>
      <c r="J1" s="9" t="s">
        <v>131</v>
      </c>
    </row>
    <row r="2" spans="1:13" ht="15">
      <c r="A2" s="10" t="s">
        <v>132</v>
      </c>
      <c r="B2" s="10" t="s">
        <v>133</v>
      </c>
      <c r="C2" s="10" t="s">
        <v>134</v>
      </c>
      <c r="D2" s="10" t="s">
        <v>135</v>
      </c>
      <c r="E2" s="10" t="s">
        <v>136</v>
      </c>
      <c r="F2" s="10" t="s">
        <v>137</v>
      </c>
      <c r="G2" s="10" t="s">
        <v>22</v>
      </c>
      <c r="H2" s="10" t="s">
        <v>138</v>
      </c>
      <c r="I2" s="10" t="s">
        <v>139</v>
      </c>
      <c r="J2" s="11" t="s">
        <v>140</v>
      </c>
      <c r="K2" s="11" t="s">
        <v>141</v>
      </c>
      <c r="M2" s="5" t="s">
        <v>142</v>
      </c>
    </row>
    <row r="3" spans="1:13" ht="15">
      <c r="A3" t="s">
        <v>143</v>
      </c>
      <c r="B3" t="s">
        <v>143</v>
      </c>
      <c r="E3" t="s">
        <v>144</v>
      </c>
      <c r="G3" t="s">
        <v>145</v>
      </c>
      <c r="H3" t="s">
        <v>146</v>
      </c>
      <c r="J3" t="s">
        <v>147</v>
      </c>
    </row>
    <row r="4" spans="1:13" ht="15">
      <c r="A4" t="s">
        <v>148</v>
      </c>
      <c r="B4" t="s">
        <v>143</v>
      </c>
      <c r="E4" t="s">
        <v>144</v>
      </c>
      <c r="G4" t="s">
        <v>145</v>
      </c>
      <c r="H4" t="s">
        <v>149</v>
      </c>
      <c r="J4" t="s">
        <v>147</v>
      </c>
    </row>
    <row r="5" spans="1:13" ht="15">
      <c r="A5" t="s">
        <v>150</v>
      </c>
      <c r="B5" t="s">
        <v>151</v>
      </c>
      <c r="D5" t="s">
        <v>152</v>
      </c>
      <c r="E5" t="s">
        <v>153</v>
      </c>
      <c r="G5" t="s">
        <v>145</v>
      </c>
      <c r="J5" t="s">
        <v>147</v>
      </c>
    </row>
    <row r="6" spans="1:13" ht="15">
      <c r="A6" t="s">
        <v>154</v>
      </c>
      <c r="B6" t="s">
        <v>151</v>
      </c>
      <c r="D6">
        <v>10</v>
      </c>
      <c r="E6" t="s">
        <v>155</v>
      </c>
      <c r="G6" t="s">
        <v>145</v>
      </c>
      <c r="H6" t="s">
        <v>156</v>
      </c>
      <c r="J6" t="s">
        <v>147</v>
      </c>
    </row>
    <row r="7" spans="1:13" ht="15">
      <c r="A7" t="s">
        <v>157</v>
      </c>
      <c r="B7" t="s">
        <v>158</v>
      </c>
      <c r="E7" t="s">
        <v>159</v>
      </c>
      <c r="G7" t="s">
        <v>145</v>
      </c>
      <c r="J7" t="s">
        <v>160</v>
      </c>
    </row>
    <row r="8" spans="1:13" ht="15">
      <c r="A8" s="26" t="s">
        <v>161</v>
      </c>
      <c r="B8" s="26" t="s">
        <v>162</v>
      </c>
      <c r="C8" s="26"/>
      <c r="D8" s="26"/>
      <c r="E8" s="26" t="s">
        <v>163</v>
      </c>
      <c r="F8" s="26"/>
      <c r="G8" t="s">
        <v>145</v>
      </c>
      <c r="H8" s="26" t="s">
        <v>164</v>
      </c>
      <c r="I8" s="26"/>
      <c r="J8" s="26" t="s">
        <v>160</v>
      </c>
      <c r="K8" s="22"/>
    </row>
    <row r="9" spans="1:13" ht="15">
      <c r="A9" s="26" t="s">
        <v>165</v>
      </c>
      <c r="B9" s="26" t="s">
        <v>162</v>
      </c>
      <c r="C9" s="26"/>
      <c r="D9" s="26"/>
      <c r="E9" s="26" t="s">
        <v>163</v>
      </c>
      <c r="F9" s="26"/>
      <c r="G9" t="s">
        <v>145</v>
      </c>
      <c r="H9" s="26"/>
      <c r="I9" s="26"/>
      <c r="J9" s="26" t="s">
        <v>160</v>
      </c>
      <c r="K9" s="22"/>
    </row>
    <row r="10" spans="1:13" ht="15">
      <c r="A10" s="26" t="s">
        <v>166</v>
      </c>
      <c r="B10" s="26" t="s">
        <v>167</v>
      </c>
      <c r="C10" s="26"/>
      <c r="D10" s="26"/>
      <c r="E10" s="26" t="s">
        <v>144</v>
      </c>
      <c r="F10" s="26"/>
      <c r="G10" t="s">
        <v>145</v>
      </c>
      <c r="H10" s="26" t="s">
        <v>168</v>
      </c>
      <c r="I10" s="26"/>
      <c r="J10" s="26" t="s">
        <v>147</v>
      </c>
      <c r="K10" s="22"/>
    </row>
    <row r="11" spans="1:13" ht="15">
      <c r="A11" s="26" t="s">
        <v>169</v>
      </c>
      <c r="B11" s="26" t="s">
        <v>170</v>
      </c>
      <c r="C11" s="26"/>
      <c r="D11" s="26"/>
      <c r="E11" s="26" t="s">
        <v>171</v>
      </c>
      <c r="F11" s="26"/>
      <c r="G11" t="s">
        <v>145</v>
      </c>
      <c r="H11" s="26" t="s">
        <v>172</v>
      </c>
      <c r="I11" s="26" t="s">
        <v>173</v>
      </c>
      <c r="J11" s="26" t="s">
        <v>147</v>
      </c>
      <c r="K11" s="22"/>
    </row>
    <row r="12" spans="1:13" ht="15">
      <c r="A12" s="26" t="s">
        <v>174</v>
      </c>
      <c r="B12" s="26" t="s">
        <v>175</v>
      </c>
      <c r="C12" s="26"/>
      <c r="D12" s="26">
        <v>0.01</v>
      </c>
      <c r="E12" s="26" t="s">
        <v>176</v>
      </c>
      <c r="F12" s="26"/>
      <c r="G12" t="s">
        <v>145</v>
      </c>
      <c r="H12" s="26"/>
      <c r="I12" s="26" t="s">
        <v>177</v>
      </c>
      <c r="J12" s="26" t="s">
        <v>147</v>
      </c>
      <c r="K12" s="22"/>
    </row>
    <row r="13" spans="1:13" ht="15">
      <c r="A13" s="26" t="s">
        <v>178</v>
      </c>
      <c r="B13" s="26" t="s">
        <v>175</v>
      </c>
      <c r="C13" s="26"/>
      <c r="D13" s="26">
        <v>0.01</v>
      </c>
      <c r="E13" s="26" t="s">
        <v>176</v>
      </c>
      <c r="F13" s="26"/>
      <c r="G13" t="s">
        <v>145</v>
      </c>
      <c r="H13" s="26"/>
      <c r="I13" s="26" t="s">
        <v>177</v>
      </c>
      <c r="J13" s="26" t="s">
        <v>147</v>
      </c>
      <c r="K13" s="22"/>
    </row>
    <row r="14" spans="1:13" ht="15">
      <c r="A14" s="26" t="s">
        <v>179</v>
      </c>
      <c r="B14" s="26" t="s">
        <v>175</v>
      </c>
      <c r="C14" s="26"/>
      <c r="D14" s="26">
        <v>0.01</v>
      </c>
      <c r="E14" s="26" t="s">
        <v>176</v>
      </c>
      <c r="F14" s="26"/>
      <c r="G14" t="s">
        <v>145</v>
      </c>
      <c r="H14" s="26"/>
      <c r="I14" s="26" t="s">
        <v>177</v>
      </c>
      <c r="J14" s="26" t="s">
        <v>147</v>
      </c>
      <c r="K14" s="22"/>
    </row>
    <row r="15" spans="1:13" ht="15">
      <c r="A15" s="26" t="s">
        <v>180</v>
      </c>
      <c r="B15" s="26" t="s">
        <v>175</v>
      </c>
      <c r="C15" s="26"/>
      <c r="D15" s="26">
        <v>0.01</v>
      </c>
      <c r="E15" s="26" t="s">
        <v>176</v>
      </c>
      <c r="F15" s="26"/>
      <c r="G15" t="s">
        <v>145</v>
      </c>
      <c r="H15" s="26"/>
      <c r="I15" s="26" t="s">
        <v>177</v>
      </c>
      <c r="J15" s="26" t="s">
        <v>147</v>
      </c>
      <c r="K15" s="22"/>
    </row>
    <row r="16" spans="1:13" ht="15">
      <c r="A16" s="26" t="s">
        <v>181</v>
      </c>
      <c r="B16" s="26" t="s">
        <v>175</v>
      </c>
      <c r="C16" s="26"/>
      <c r="D16" s="26">
        <v>0.01</v>
      </c>
      <c r="E16" s="26" t="s">
        <v>176</v>
      </c>
      <c r="F16" s="26"/>
      <c r="G16" t="s">
        <v>145</v>
      </c>
      <c r="H16" s="26"/>
      <c r="I16" s="26" t="s">
        <v>177</v>
      </c>
      <c r="J16" s="26" t="s">
        <v>147</v>
      </c>
      <c r="K16" s="22"/>
    </row>
    <row r="17" spans="1:17" ht="15">
      <c r="A17" s="26" t="s">
        <v>182</v>
      </c>
      <c r="B17" s="26" t="s">
        <v>183</v>
      </c>
      <c r="C17" s="26"/>
      <c r="D17" s="26"/>
      <c r="E17" s="26" t="s">
        <v>171</v>
      </c>
      <c r="F17" s="26"/>
      <c r="G17" t="s">
        <v>145</v>
      </c>
      <c r="H17" s="26" t="s">
        <v>184</v>
      </c>
      <c r="I17" s="26" t="s">
        <v>177</v>
      </c>
      <c r="J17" s="26" t="s">
        <v>147</v>
      </c>
      <c r="K17" s="22"/>
    </row>
    <row r="18" spans="1:17" ht="15">
      <c r="A18" s="26" t="s">
        <v>185</v>
      </c>
      <c r="B18" s="26" t="s">
        <v>186</v>
      </c>
      <c r="C18" s="26"/>
      <c r="D18" s="26"/>
      <c r="E18" s="26" t="s">
        <v>171</v>
      </c>
      <c r="F18" s="26"/>
      <c r="G18" t="s">
        <v>145</v>
      </c>
      <c r="H18" s="26" t="s">
        <v>187</v>
      </c>
      <c r="I18" s="26" t="s">
        <v>177</v>
      </c>
      <c r="J18" s="26" t="s">
        <v>147</v>
      </c>
      <c r="K18" s="22"/>
    </row>
    <row r="19" spans="1:17" ht="15">
      <c r="A19" s="26" t="s">
        <v>188</v>
      </c>
      <c r="B19" s="26" t="s">
        <v>189</v>
      </c>
      <c r="C19" s="26"/>
      <c r="D19" s="26"/>
      <c r="E19" s="26" t="s">
        <v>171</v>
      </c>
      <c r="F19" s="26"/>
      <c r="G19" t="s">
        <v>145</v>
      </c>
      <c r="H19" s="26" t="s">
        <v>190</v>
      </c>
      <c r="I19" s="26" t="s">
        <v>177</v>
      </c>
      <c r="J19" s="26" t="s">
        <v>147</v>
      </c>
      <c r="K19" s="22"/>
    </row>
    <row r="20" spans="1:17" ht="15">
      <c r="A20" s="4" t="s">
        <v>191</v>
      </c>
      <c r="B20" s="5" t="s">
        <v>192</v>
      </c>
    </row>
    <row r="21" spans="1:17" ht="15.6" thickTop="1" thickBot="1">
      <c r="A21" s="4" t="s">
        <v>193</v>
      </c>
      <c r="B21" t="s">
        <v>159</v>
      </c>
      <c r="D21" s="5" t="s">
        <v>194</v>
      </c>
    </row>
    <row r="22" spans="1:17" ht="15" thickTop="1">
      <c r="A22" t="s">
        <v>143</v>
      </c>
      <c r="B22" t="s">
        <v>195</v>
      </c>
      <c r="C22" t="s">
        <v>150</v>
      </c>
      <c r="D22" t="s">
        <v>154</v>
      </c>
      <c r="E22" t="s">
        <v>157</v>
      </c>
      <c r="F22" t="s">
        <v>161</v>
      </c>
      <c r="G22" t="s">
        <v>165</v>
      </c>
      <c r="H22" t="s">
        <v>166</v>
      </c>
      <c r="I22" t="s">
        <v>169</v>
      </c>
      <c r="J22" t="s">
        <v>174</v>
      </c>
      <c r="K22" t="s">
        <v>178</v>
      </c>
      <c r="L22" t="s">
        <v>179</v>
      </c>
      <c r="M22" t="s">
        <v>180</v>
      </c>
      <c r="N22" t="s">
        <v>181</v>
      </c>
      <c r="O22" t="s">
        <v>182</v>
      </c>
      <c r="P22" t="s">
        <v>185</v>
      </c>
      <c r="Q22" t="s">
        <v>188</v>
      </c>
    </row>
    <row r="23" spans="1:17">
      <c r="A23">
        <v>4.4000000000000004</v>
      </c>
      <c r="B23">
        <v>4.4000000000000004</v>
      </c>
      <c r="C23">
        <v>-64</v>
      </c>
      <c r="D23">
        <v>-65</v>
      </c>
      <c r="E23" t="s">
        <v>196</v>
      </c>
      <c r="F23" t="b">
        <v>0</v>
      </c>
      <c r="G23" t="b">
        <v>1</v>
      </c>
      <c r="H23">
        <v>4.4000000000000004</v>
      </c>
      <c r="I23">
        <v>3.3660000000000001</v>
      </c>
      <c r="J23">
        <v>1.74</v>
      </c>
      <c r="K23">
        <v>4.18</v>
      </c>
      <c r="L23">
        <v>7.68</v>
      </c>
      <c r="M23">
        <v>13.3</v>
      </c>
      <c r="N23">
        <v>20.9</v>
      </c>
      <c r="O23">
        <v>10.66</v>
      </c>
      <c r="P23">
        <v>88.44</v>
      </c>
      <c r="Q23">
        <v>0.9</v>
      </c>
    </row>
    <row r="24" spans="1:17">
      <c r="A24">
        <v>7.1</v>
      </c>
      <c r="B24">
        <v>7.1</v>
      </c>
      <c r="C24">
        <v>-62</v>
      </c>
      <c r="D24">
        <v>-64</v>
      </c>
      <c r="E24" t="s">
        <v>196</v>
      </c>
      <c r="F24" t="b">
        <v>0</v>
      </c>
      <c r="G24" t="b">
        <v>1</v>
      </c>
      <c r="H24">
        <v>2.7</v>
      </c>
      <c r="I24">
        <v>3.3660000000000001</v>
      </c>
      <c r="J24">
        <v>1.74</v>
      </c>
      <c r="K24">
        <v>4.18</v>
      </c>
      <c r="L24">
        <v>7.68</v>
      </c>
      <c r="M24">
        <v>13.3</v>
      </c>
      <c r="N24">
        <v>20.9</v>
      </c>
      <c r="O24">
        <v>10.66</v>
      </c>
      <c r="P24">
        <v>88.44</v>
      </c>
      <c r="Q24">
        <v>0.9</v>
      </c>
    </row>
    <row r="25" spans="1:17">
      <c r="A25">
        <v>9.1</v>
      </c>
      <c r="B25">
        <v>9.1</v>
      </c>
      <c r="C25">
        <v>-60</v>
      </c>
      <c r="D25">
        <v>-63</v>
      </c>
      <c r="E25" t="s">
        <v>196</v>
      </c>
      <c r="F25" t="b">
        <v>0</v>
      </c>
      <c r="G25" t="b">
        <v>0</v>
      </c>
      <c r="H25">
        <v>2.1</v>
      </c>
      <c r="I25">
        <v>3.3660000000000001</v>
      </c>
      <c r="J25">
        <v>1.74</v>
      </c>
      <c r="K25">
        <v>4.18</v>
      </c>
      <c r="L25">
        <v>7.68</v>
      </c>
      <c r="M25">
        <v>13.3</v>
      </c>
      <c r="N25">
        <v>20.9</v>
      </c>
      <c r="O25">
        <v>10.66</v>
      </c>
      <c r="P25">
        <v>88.44</v>
      </c>
      <c r="Q25">
        <v>0.9</v>
      </c>
    </row>
    <row r="26" spans="1:17">
      <c r="A26">
        <v>11</v>
      </c>
      <c r="B26">
        <v>11</v>
      </c>
      <c r="C26">
        <v>-59</v>
      </c>
      <c r="D26">
        <v>-62</v>
      </c>
      <c r="E26" t="s">
        <v>196</v>
      </c>
      <c r="F26" t="b">
        <v>0</v>
      </c>
      <c r="G26" t="b">
        <v>0</v>
      </c>
      <c r="H26">
        <v>1.9</v>
      </c>
      <c r="I26">
        <v>3.3660000000000001</v>
      </c>
      <c r="J26">
        <v>1.74</v>
      </c>
      <c r="K26">
        <v>4.18</v>
      </c>
      <c r="L26">
        <v>7.68</v>
      </c>
      <c r="M26">
        <v>13.3</v>
      </c>
      <c r="N26">
        <v>20.9</v>
      </c>
      <c r="O26">
        <v>10.66</v>
      </c>
      <c r="P26">
        <v>88.44</v>
      </c>
      <c r="Q26">
        <v>0.9</v>
      </c>
    </row>
    <row r="27" spans="1:17">
      <c r="A27">
        <v>13.1</v>
      </c>
      <c r="B27">
        <v>13.1</v>
      </c>
      <c r="C27">
        <v>-58</v>
      </c>
      <c r="D27">
        <v>-61</v>
      </c>
      <c r="E27" t="s">
        <v>196</v>
      </c>
      <c r="F27" t="b">
        <v>0</v>
      </c>
      <c r="G27" t="b">
        <v>0</v>
      </c>
      <c r="H27">
        <v>2.1</v>
      </c>
      <c r="I27">
        <v>3.3660000000000001</v>
      </c>
      <c r="J27">
        <v>1.74</v>
      </c>
      <c r="K27">
        <v>4.18</v>
      </c>
      <c r="L27">
        <v>7.68</v>
      </c>
      <c r="M27">
        <v>13.3</v>
      </c>
      <c r="N27">
        <v>20.9</v>
      </c>
      <c r="O27">
        <v>10.66</v>
      </c>
      <c r="P27">
        <v>88.44</v>
      </c>
      <c r="Q27">
        <v>0.9</v>
      </c>
    </row>
    <row r="28" spans="1:17">
      <c r="A28">
        <v>16.100000000000001</v>
      </c>
      <c r="B28">
        <v>16.100000000000001</v>
      </c>
      <c r="C28">
        <v>-55</v>
      </c>
      <c r="D28">
        <v>-59</v>
      </c>
      <c r="E28" t="s">
        <v>196</v>
      </c>
      <c r="F28" t="b">
        <v>0</v>
      </c>
      <c r="G28" t="b">
        <v>1</v>
      </c>
      <c r="H28">
        <v>3.1</v>
      </c>
      <c r="I28">
        <v>3.3660000000000001</v>
      </c>
      <c r="J28">
        <v>1.74</v>
      </c>
      <c r="K28">
        <v>4.18</v>
      </c>
      <c r="L28">
        <v>7.68</v>
      </c>
      <c r="M28">
        <v>13.3</v>
      </c>
      <c r="N28">
        <v>20.9</v>
      </c>
      <c r="O28">
        <v>10.66</v>
      </c>
      <c r="P28">
        <v>88.44</v>
      </c>
      <c r="Q28">
        <v>0.9</v>
      </c>
    </row>
    <row r="29" spans="1:17">
      <c r="A29">
        <v>18.7</v>
      </c>
      <c r="B29">
        <v>18.7</v>
      </c>
      <c r="C29">
        <v>-54</v>
      </c>
      <c r="D29">
        <v>-58</v>
      </c>
      <c r="E29" t="s">
        <v>196</v>
      </c>
      <c r="F29" t="b">
        <v>0</v>
      </c>
      <c r="G29" t="b">
        <v>1</v>
      </c>
      <c r="H29">
        <v>2.6</v>
      </c>
      <c r="I29">
        <v>3.3660000000000001</v>
      </c>
      <c r="J29">
        <v>1.74</v>
      </c>
      <c r="K29">
        <v>4.18</v>
      </c>
      <c r="L29">
        <v>7.68</v>
      </c>
      <c r="M29">
        <v>13.3</v>
      </c>
      <c r="N29">
        <v>20.9</v>
      </c>
      <c r="O29">
        <v>10.66</v>
      </c>
      <c r="P29">
        <v>88.44</v>
      </c>
      <c r="Q29">
        <v>0.9</v>
      </c>
    </row>
    <row r="30" spans="1:17">
      <c r="A30">
        <v>21.1</v>
      </c>
      <c r="B30">
        <v>21.1</v>
      </c>
      <c r="C30">
        <v>-52</v>
      </c>
      <c r="D30">
        <v>-57</v>
      </c>
      <c r="E30" t="s">
        <v>196</v>
      </c>
      <c r="F30" t="b">
        <v>0</v>
      </c>
      <c r="G30" t="b">
        <v>0</v>
      </c>
      <c r="H30">
        <v>2.4</v>
      </c>
      <c r="I30" t="s">
        <v>159</v>
      </c>
      <c r="J30" t="s">
        <v>159</v>
      </c>
      <c r="K30" t="s">
        <v>159</v>
      </c>
      <c r="L30" t="s">
        <v>159</v>
      </c>
      <c r="M30" t="s">
        <v>159</v>
      </c>
      <c r="N30" t="s">
        <v>159</v>
      </c>
      <c r="O30" t="s">
        <v>159</v>
      </c>
      <c r="P30" t="s">
        <v>159</v>
      </c>
      <c r="Q30" t="s">
        <v>159</v>
      </c>
    </row>
    <row r="31" spans="1:17">
      <c r="A31">
        <v>22.9</v>
      </c>
      <c r="B31">
        <v>22.9</v>
      </c>
      <c r="C31">
        <v>-51</v>
      </c>
      <c r="D31">
        <v>-56</v>
      </c>
      <c r="E31" t="s">
        <v>196</v>
      </c>
      <c r="F31" t="b">
        <v>0</v>
      </c>
      <c r="G31" t="b">
        <v>0</v>
      </c>
      <c r="H31">
        <v>1.8</v>
      </c>
      <c r="I31" t="s">
        <v>159</v>
      </c>
      <c r="J31" t="s">
        <v>159</v>
      </c>
      <c r="K31" t="s">
        <v>159</v>
      </c>
      <c r="L31" t="s">
        <v>159</v>
      </c>
      <c r="M31" t="s">
        <v>159</v>
      </c>
      <c r="N31" t="s">
        <v>159</v>
      </c>
      <c r="O31" t="s">
        <v>159</v>
      </c>
      <c r="P31" t="s">
        <v>159</v>
      </c>
      <c r="Q31" t="s">
        <v>159</v>
      </c>
    </row>
    <row r="32" spans="1:17">
      <c r="A32">
        <v>25</v>
      </c>
      <c r="B32">
        <v>25</v>
      </c>
      <c r="C32">
        <v>-49</v>
      </c>
      <c r="D32">
        <v>-55</v>
      </c>
      <c r="E32" t="s">
        <v>196</v>
      </c>
      <c r="F32" t="b">
        <v>0</v>
      </c>
      <c r="G32" t="b">
        <v>0</v>
      </c>
      <c r="H32">
        <v>2.1</v>
      </c>
      <c r="I32">
        <v>4.4669999999999996</v>
      </c>
      <c r="J32">
        <v>1.1599999999999999</v>
      </c>
      <c r="K32">
        <v>4</v>
      </c>
      <c r="L32">
        <v>7.58</v>
      </c>
      <c r="M32">
        <v>13.5</v>
      </c>
      <c r="N32">
        <v>21.4</v>
      </c>
      <c r="O32">
        <v>11.99</v>
      </c>
      <c r="P32">
        <v>87.75</v>
      </c>
      <c r="Q32">
        <v>0.27</v>
      </c>
    </row>
    <row r="33" spans="1:17">
      <c r="A33">
        <v>26.9</v>
      </c>
      <c r="B33">
        <v>26.9</v>
      </c>
      <c r="C33">
        <v>-48</v>
      </c>
      <c r="D33">
        <v>-54</v>
      </c>
      <c r="E33" t="s">
        <v>196</v>
      </c>
      <c r="F33" t="b">
        <v>0</v>
      </c>
      <c r="G33" t="b">
        <v>0</v>
      </c>
      <c r="H33">
        <v>1.9</v>
      </c>
      <c r="I33">
        <v>4.4669999999999996</v>
      </c>
      <c r="J33">
        <v>1.1599999999999999</v>
      </c>
      <c r="K33">
        <v>4</v>
      </c>
      <c r="L33">
        <v>7.58</v>
      </c>
      <c r="M33">
        <v>13.5</v>
      </c>
      <c r="N33">
        <v>21.4</v>
      </c>
      <c r="O33">
        <v>11.99</v>
      </c>
      <c r="P33">
        <v>87.75</v>
      </c>
      <c r="Q33">
        <v>0.27</v>
      </c>
    </row>
    <row r="34" spans="1:17">
      <c r="A34">
        <v>28.3</v>
      </c>
      <c r="B34">
        <v>28.3</v>
      </c>
      <c r="C34">
        <v>-47</v>
      </c>
      <c r="D34">
        <v>-53</v>
      </c>
      <c r="E34" t="s">
        <v>196</v>
      </c>
      <c r="F34" t="b">
        <v>0</v>
      </c>
      <c r="G34" t="b">
        <v>0</v>
      </c>
      <c r="H34">
        <v>1.4</v>
      </c>
      <c r="I34">
        <v>4.4669999999999996</v>
      </c>
      <c r="J34">
        <v>1.1599999999999999</v>
      </c>
      <c r="K34">
        <v>4</v>
      </c>
      <c r="L34">
        <v>7.58</v>
      </c>
      <c r="M34">
        <v>13.5</v>
      </c>
      <c r="N34">
        <v>21.4</v>
      </c>
      <c r="O34">
        <v>11.99</v>
      </c>
      <c r="P34">
        <v>87.75</v>
      </c>
      <c r="Q34">
        <v>0.27</v>
      </c>
    </row>
    <row r="35" spans="1:17">
      <c r="A35">
        <v>30.1</v>
      </c>
      <c r="B35">
        <v>30.1</v>
      </c>
      <c r="C35">
        <v>-45</v>
      </c>
      <c r="D35">
        <v>-52</v>
      </c>
      <c r="E35" t="s">
        <v>196</v>
      </c>
      <c r="F35" t="b">
        <v>0</v>
      </c>
      <c r="G35" t="b">
        <v>0</v>
      </c>
      <c r="H35">
        <v>1.8</v>
      </c>
      <c r="I35">
        <v>4.4669999999999996</v>
      </c>
      <c r="J35">
        <v>1.1599999999999999</v>
      </c>
      <c r="K35">
        <v>4</v>
      </c>
      <c r="L35">
        <v>7.58</v>
      </c>
      <c r="M35">
        <v>13.5</v>
      </c>
      <c r="N35">
        <v>21.4</v>
      </c>
      <c r="O35">
        <v>11.99</v>
      </c>
      <c r="P35">
        <v>87.75</v>
      </c>
      <c r="Q35">
        <v>0.27</v>
      </c>
    </row>
    <row r="36" spans="1:17">
      <c r="A36">
        <v>32.6</v>
      </c>
      <c r="B36">
        <v>32.6</v>
      </c>
      <c r="C36">
        <v>-44</v>
      </c>
      <c r="D36">
        <v>-51</v>
      </c>
      <c r="E36" t="s">
        <v>196</v>
      </c>
      <c r="F36" t="b">
        <v>0</v>
      </c>
      <c r="G36" t="b">
        <v>0</v>
      </c>
      <c r="H36">
        <v>2.5</v>
      </c>
      <c r="I36">
        <v>4.4669999999999996</v>
      </c>
      <c r="J36">
        <v>1.1599999999999999</v>
      </c>
      <c r="K36">
        <v>4</v>
      </c>
      <c r="L36">
        <v>7.58</v>
      </c>
      <c r="M36">
        <v>13.5</v>
      </c>
      <c r="N36">
        <v>21.4</v>
      </c>
      <c r="O36">
        <v>11.99</v>
      </c>
      <c r="P36">
        <v>87.75</v>
      </c>
      <c r="Q36">
        <v>0.27</v>
      </c>
    </row>
    <row r="37" spans="1:17">
      <c r="A37">
        <v>34.5</v>
      </c>
      <c r="B37">
        <v>34.5</v>
      </c>
      <c r="C37">
        <v>-42</v>
      </c>
      <c r="D37">
        <v>-50</v>
      </c>
      <c r="E37" t="s">
        <v>196</v>
      </c>
      <c r="F37" t="b">
        <v>0</v>
      </c>
      <c r="G37" t="b">
        <v>0</v>
      </c>
      <c r="H37">
        <v>1.9</v>
      </c>
      <c r="I37">
        <v>4.4669999999999996</v>
      </c>
      <c r="J37">
        <v>1.1599999999999999</v>
      </c>
      <c r="K37">
        <v>4</v>
      </c>
      <c r="L37">
        <v>7.58</v>
      </c>
      <c r="M37">
        <v>13.5</v>
      </c>
      <c r="N37">
        <v>21.4</v>
      </c>
      <c r="O37">
        <v>11.99</v>
      </c>
      <c r="P37">
        <v>87.75</v>
      </c>
      <c r="Q37">
        <v>0.27</v>
      </c>
    </row>
    <row r="38" spans="1:17">
      <c r="A38">
        <v>36.1</v>
      </c>
      <c r="B38">
        <v>36.1</v>
      </c>
      <c r="C38">
        <v>-41</v>
      </c>
      <c r="D38">
        <v>-49</v>
      </c>
      <c r="E38" t="s">
        <v>196</v>
      </c>
      <c r="F38" t="b">
        <v>0</v>
      </c>
      <c r="G38" t="b">
        <v>0</v>
      </c>
      <c r="H38">
        <v>1.6</v>
      </c>
      <c r="I38">
        <v>4.4669999999999996</v>
      </c>
      <c r="J38">
        <v>1.1599999999999999</v>
      </c>
      <c r="K38">
        <v>4</v>
      </c>
      <c r="L38">
        <v>7.58</v>
      </c>
      <c r="M38">
        <v>13.5</v>
      </c>
      <c r="N38">
        <v>21.4</v>
      </c>
      <c r="O38">
        <v>11.99</v>
      </c>
      <c r="P38">
        <v>87.75</v>
      </c>
      <c r="Q38">
        <v>0.27</v>
      </c>
    </row>
    <row r="39" spans="1:17">
      <c r="A39">
        <v>40.9</v>
      </c>
      <c r="B39">
        <v>40.9</v>
      </c>
      <c r="C39">
        <v>-38</v>
      </c>
      <c r="D39">
        <v>-46</v>
      </c>
      <c r="E39" t="s">
        <v>196</v>
      </c>
      <c r="F39" t="b">
        <v>0</v>
      </c>
      <c r="G39" t="b">
        <v>1</v>
      </c>
      <c r="H39">
        <v>4.8</v>
      </c>
      <c r="I39">
        <v>4.4669999999999996</v>
      </c>
      <c r="J39">
        <v>1.1599999999999999</v>
      </c>
      <c r="K39">
        <v>4</v>
      </c>
      <c r="L39">
        <v>7.58</v>
      </c>
      <c r="M39">
        <v>13.5</v>
      </c>
      <c r="N39">
        <v>21.4</v>
      </c>
      <c r="O39">
        <v>11.99</v>
      </c>
      <c r="P39">
        <v>87.75</v>
      </c>
      <c r="Q39">
        <v>0.27</v>
      </c>
    </row>
    <row r="40" spans="1:17">
      <c r="A40">
        <v>42.4</v>
      </c>
      <c r="B40">
        <v>42.4</v>
      </c>
      <c r="C40">
        <v>-36</v>
      </c>
      <c r="D40">
        <v>-45</v>
      </c>
      <c r="E40" t="s">
        <v>196</v>
      </c>
      <c r="F40" t="b">
        <v>0</v>
      </c>
      <c r="G40" t="b">
        <v>0</v>
      </c>
      <c r="H40">
        <v>1.5</v>
      </c>
      <c r="I40">
        <v>4.4669999999999996</v>
      </c>
      <c r="J40">
        <v>1.1599999999999999</v>
      </c>
      <c r="K40">
        <v>4</v>
      </c>
      <c r="L40">
        <v>7.58</v>
      </c>
      <c r="M40">
        <v>13.5</v>
      </c>
      <c r="N40">
        <v>21.4</v>
      </c>
      <c r="O40">
        <v>11.99</v>
      </c>
      <c r="P40">
        <v>87.75</v>
      </c>
      <c r="Q40">
        <v>0.27</v>
      </c>
    </row>
    <row r="41" spans="1:17">
      <c r="A41">
        <v>44.3</v>
      </c>
      <c r="B41">
        <v>44.3</v>
      </c>
      <c r="C41">
        <v>-35</v>
      </c>
      <c r="D41">
        <v>-44</v>
      </c>
      <c r="E41" t="s">
        <v>196</v>
      </c>
      <c r="F41" t="b">
        <v>0</v>
      </c>
      <c r="G41" t="b">
        <v>0</v>
      </c>
      <c r="H41">
        <v>2</v>
      </c>
      <c r="I41">
        <v>4.4669999999999996</v>
      </c>
      <c r="J41">
        <v>1.1599999999999999</v>
      </c>
      <c r="K41">
        <v>4</v>
      </c>
      <c r="L41">
        <v>7.58</v>
      </c>
      <c r="M41">
        <v>13.5</v>
      </c>
      <c r="N41">
        <v>21.4</v>
      </c>
      <c r="O41">
        <v>11.99</v>
      </c>
      <c r="P41">
        <v>87.75</v>
      </c>
      <c r="Q41">
        <v>0.27</v>
      </c>
    </row>
    <row r="42" spans="1:17">
      <c r="A42">
        <v>46.3</v>
      </c>
      <c r="B42">
        <v>46.3</v>
      </c>
      <c r="C42">
        <v>-34</v>
      </c>
      <c r="D42">
        <v>-43</v>
      </c>
      <c r="E42" t="s">
        <v>196</v>
      </c>
      <c r="F42" t="b">
        <v>0</v>
      </c>
      <c r="G42" t="b">
        <v>0</v>
      </c>
      <c r="H42">
        <v>1.9</v>
      </c>
      <c r="I42" t="s">
        <v>159</v>
      </c>
      <c r="J42" t="s">
        <v>159</v>
      </c>
      <c r="K42" t="s">
        <v>159</v>
      </c>
      <c r="L42" t="s">
        <v>159</v>
      </c>
      <c r="M42" t="s">
        <v>159</v>
      </c>
      <c r="N42" t="s">
        <v>159</v>
      </c>
      <c r="O42" t="s">
        <v>159</v>
      </c>
      <c r="P42" t="s">
        <v>159</v>
      </c>
      <c r="Q42" t="s">
        <v>159</v>
      </c>
    </row>
    <row r="43" spans="1:17">
      <c r="A43">
        <v>49</v>
      </c>
      <c r="B43">
        <v>49</v>
      </c>
      <c r="C43">
        <v>-32</v>
      </c>
      <c r="D43">
        <v>-41</v>
      </c>
      <c r="E43" t="s">
        <v>196</v>
      </c>
      <c r="F43" t="b">
        <v>0</v>
      </c>
      <c r="G43" t="b">
        <v>1</v>
      </c>
      <c r="H43">
        <v>2.7</v>
      </c>
      <c r="I43" t="s">
        <v>159</v>
      </c>
      <c r="J43" t="s">
        <v>159</v>
      </c>
      <c r="K43" t="s">
        <v>159</v>
      </c>
      <c r="L43" t="s">
        <v>159</v>
      </c>
      <c r="M43" t="s">
        <v>159</v>
      </c>
      <c r="N43" t="s">
        <v>159</v>
      </c>
      <c r="O43" t="s">
        <v>159</v>
      </c>
      <c r="P43" t="s">
        <v>159</v>
      </c>
      <c r="Q43" t="s">
        <v>159</v>
      </c>
    </row>
    <row r="44" spans="1:17">
      <c r="A44">
        <v>51.3</v>
      </c>
      <c r="B44">
        <v>51.3</v>
      </c>
      <c r="C44">
        <v>-30</v>
      </c>
      <c r="D44">
        <v>-40</v>
      </c>
      <c r="E44" t="s">
        <v>196</v>
      </c>
      <c r="F44" t="b">
        <v>0</v>
      </c>
      <c r="G44" t="b">
        <v>0</v>
      </c>
      <c r="H44">
        <v>2.4</v>
      </c>
      <c r="I44">
        <v>4.3959999999999999</v>
      </c>
      <c r="J44">
        <v>2.13</v>
      </c>
      <c r="K44">
        <v>4.28</v>
      </c>
      <c r="L44">
        <v>7.73</v>
      </c>
      <c r="M44">
        <v>13.3</v>
      </c>
      <c r="N44">
        <v>20.5</v>
      </c>
      <c r="O44">
        <v>9.6199999999999992</v>
      </c>
      <c r="P44">
        <v>90.14</v>
      </c>
      <c r="Q44">
        <v>0.25</v>
      </c>
    </row>
    <row r="45" spans="1:17">
      <c r="A45">
        <v>54.1</v>
      </c>
      <c r="B45">
        <v>54.1</v>
      </c>
      <c r="C45">
        <v>-28</v>
      </c>
      <c r="D45">
        <v>-38</v>
      </c>
      <c r="E45" t="s">
        <v>196</v>
      </c>
      <c r="F45" t="b">
        <v>0</v>
      </c>
      <c r="G45" t="b">
        <v>1</v>
      </c>
      <c r="H45">
        <v>2.7</v>
      </c>
      <c r="I45">
        <v>4.3959999999999999</v>
      </c>
      <c r="J45">
        <v>2.13</v>
      </c>
      <c r="K45">
        <v>4.28</v>
      </c>
      <c r="L45">
        <v>7.73</v>
      </c>
      <c r="M45">
        <v>13.3</v>
      </c>
      <c r="N45">
        <v>20.5</v>
      </c>
      <c r="O45">
        <v>9.6199999999999992</v>
      </c>
      <c r="P45">
        <v>90.14</v>
      </c>
      <c r="Q45">
        <v>0.25</v>
      </c>
    </row>
    <row r="46" spans="1:17">
      <c r="A46">
        <v>55.8</v>
      </c>
      <c r="B46">
        <v>55.8</v>
      </c>
      <c r="C46">
        <v>-27</v>
      </c>
      <c r="D46">
        <v>-37</v>
      </c>
      <c r="E46" t="s">
        <v>196</v>
      </c>
      <c r="F46" t="b">
        <v>0</v>
      </c>
      <c r="G46" t="b">
        <v>0</v>
      </c>
      <c r="H46">
        <v>1.7</v>
      </c>
      <c r="I46">
        <v>4.3959999999999999</v>
      </c>
      <c r="J46">
        <v>2.13</v>
      </c>
      <c r="K46">
        <v>4.28</v>
      </c>
      <c r="L46">
        <v>7.73</v>
      </c>
      <c r="M46">
        <v>13.3</v>
      </c>
      <c r="N46">
        <v>20.5</v>
      </c>
      <c r="O46">
        <v>9.6199999999999992</v>
      </c>
      <c r="P46">
        <v>90.14</v>
      </c>
      <c r="Q46">
        <v>0.25</v>
      </c>
    </row>
    <row r="47" spans="1:17">
      <c r="A47">
        <v>57</v>
      </c>
      <c r="B47">
        <v>57</v>
      </c>
      <c r="C47">
        <v>-26</v>
      </c>
      <c r="D47">
        <v>-36</v>
      </c>
      <c r="E47" t="s">
        <v>196</v>
      </c>
      <c r="F47" t="b">
        <v>0</v>
      </c>
      <c r="G47" t="b">
        <v>0</v>
      </c>
      <c r="H47">
        <v>1.2</v>
      </c>
      <c r="I47">
        <v>4.3959999999999999</v>
      </c>
      <c r="J47">
        <v>2.13</v>
      </c>
      <c r="K47">
        <v>4.28</v>
      </c>
      <c r="L47">
        <v>7.73</v>
      </c>
      <c r="M47">
        <v>13.3</v>
      </c>
      <c r="N47">
        <v>20.5</v>
      </c>
      <c r="O47">
        <v>9.6199999999999992</v>
      </c>
      <c r="P47">
        <v>90.14</v>
      </c>
      <c r="Q47">
        <v>0.25</v>
      </c>
    </row>
    <row r="48" spans="1:17">
      <c r="A48">
        <v>59</v>
      </c>
      <c r="B48">
        <v>59</v>
      </c>
      <c r="C48">
        <v>-25</v>
      </c>
      <c r="D48">
        <v>-35</v>
      </c>
      <c r="E48" t="s">
        <v>196</v>
      </c>
      <c r="F48" t="b">
        <v>0</v>
      </c>
      <c r="G48" t="b">
        <v>0</v>
      </c>
      <c r="H48">
        <v>2</v>
      </c>
      <c r="I48">
        <v>4.3959999999999999</v>
      </c>
      <c r="J48">
        <v>2.13</v>
      </c>
      <c r="K48">
        <v>4.28</v>
      </c>
      <c r="L48">
        <v>7.73</v>
      </c>
      <c r="M48">
        <v>13.3</v>
      </c>
      <c r="N48">
        <v>20.5</v>
      </c>
      <c r="O48">
        <v>9.6199999999999992</v>
      </c>
      <c r="P48">
        <v>90.14</v>
      </c>
      <c r="Q48">
        <v>0.25</v>
      </c>
    </row>
    <row r="49" spans="1:17">
      <c r="A49">
        <v>60.1</v>
      </c>
      <c r="B49">
        <v>60.1</v>
      </c>
      <c r="C49">
        <v>-24</v>
      </c>
      <c r="D49">
        <v>-34</v>
      </c>
      <c r="E49" t="s">
        <v>196</v>
      </c>
      <c r="F49" t="b">
        <v>0</v>
      </c>
      <c r="G49" t="b">
        <v>0</v>
      </c>
      <c r="H49">
        <v>1</v>
      </c>
      <c r="I49">
        <v>4.3959999999999999</v>
      </c>
      <c r="J49">
        <v>2.13</v>
      </c>
      <c r="K49">
        <v>4.28</v>
      </c>
      <c r="L49">
        <v>7.73</v>
      </c>
      <c r="M49">
        <v>13.3</v>
      </c>
      <c r="N49">
        <v>20.5</v>
      </c>
      <c r="O49">
        <v>9.6199999999999992</v>
      </c>
      <c r="P49">
        <v>90.14</v>
      </c>
      <c r="Q49">
        <v>0.25</v>
      </c>
    </row>
    <row r="50" spans="1:17">
      <c r="A50">
        <v>62.8</v>
      </c>
      <c r="B50">
        <v>62.8</v>
      </c>
      <c r="C50">
        <v>-22</v>
      </c>
      <c r="D50">
        <v>-32</v>
      </c>
      <c r="E50" t="s">
        <v>196</v>
      </c>
      <c r="F50" t="b">
        <v>0</v>
      </c>
      <c r="G50" t="b">
        <v>1</v>
      </c>
      <c r="H50">
        <v>2.7</v>
      </c>
      <c r="I50">
        <v>4.3959999999999999</v>
      </c>
      <c r="J50">
        <v>2.13</v>
      </c>
      <c r="K50">
        <v>4.28</v>
      </c>
      <c r="L50">
        <v>7.73</v>
      </c>
      <c r="M50">
        <v>13.3</v>
      </c>
      <c r="N50">
        <v>20.5</v>
      </c>
      <c r="O50">
        <v>9.6199999999999992</v>
      </c>
      <c r="P50">
        <v>90.14</v>
      </c>
      <c r="Q50">
        <v>0.25</v>
      </c>
    </row>
    <row r="51" spans="1:17">
      <c r="A51">
        <v>64.400000000000006</v>
      </c>
      <c r="B51">
        <v>64.400000000000006</v>
      </c>
      <c r="C51">
        <v>-21</v>
      </c>
      <c r="D51">
        <v>-31</v>
      </c>
      <c r="E51" t="s">
        <v>196</v>
      </c>
      <c r="F51" t="b">
        <v>0</v>
      </c>
      <c r="G51" t="b">
        <v>0</v>
      </c>
      <c r="H51">
        <v>1.6</v>
      </c>
      <c r="I51">
        <v>4.3959999999999999</v>
      </c>
      <c r="J51">
        <v>2.13</v>
      </c>
      <c r="K51">
        <v>4.28</v>
      </c>
      <c r="L51">
        <v>7.73</v>
      </c>
      <c r="M51">
        <v>13.3</v>
      </c>
      <c r="N51">
        <v>20.5</v>
      </c>
      <c r="O51">
        <v>9.6199999999999992</v>
      </c>
      <c r="P51">
        <v>90.14</v>
      </c>
      <c r="Q51">
        <v>0.25</v>
      </c>
    </row>
    <row r="52" spans="1:17">
      <c r="A52">
        <v>65.3</v>
      </c>
      <c r="B52">
        <v>65.3</v>
      </c>
      <c r="C52">
        <v>-20</v>
      </c>
      <c r="D52">
        <v>-30</v>
      </c>
      <c r="E52" t="s">
        <v>196</v>
      </c>
      <c r="F52" t="b">
        <v>0</v>
      </c>
      <c r="G52" t="b">
        <v>0</v>
      </c>
      <c r="H52">
        <v>0.9</v>
      </c>
      <c r="I52">
        <v>4.3959999999999999</v>
      </c>
      <c r="J52">
        <v>2.13</v>
      </c>
      <c r="K52">
        <v>4.28</v>
      </c>
      <c r="L52">
        <v>7.73</v>
      </c>
      <c r="M52">
        <v>13.3</v>
      </c>
      <c r="N52">
        <v>20.5</v>
      </c>
      <c r="O52">
        <v>9.6199999999999992</v>
      </c>
      <c r="P52">
        <v>90.14</v>
      </c>
      <c r="Q52">
        <v>0.25</v>
      </c>
    </row>
    <row r="53" spans="1:17">
      <c r="A53">
        <v>67</v>
      </c>
      <c r="B53">
        <v>67</v>
      </c>
      <c r="C53">
        <v>-19</v>
      </c>
      <c r="D53">
        <v>-29</v>
      </c>
      <c r="E53" t="s">
        <v>196</v>
      </c>
      <c r="F53" t="b">
        <v>0</v>
      </c>
      <c r="G53" t="b">
        <v>0</v>
      </c>
      <c r="H53">
        <v>1.8</v>
      </c>
      <c r="I53">
        <v>4.3959999999999999</v>
      </c>
      <c r="J53">
        <v>2.13</v>
      </c>
      <c r="K53">
        <v>4.28</v>
      </c>
      <c r="L53">
        <v>7.73</v>
      </c>
      <c r="M53">
        <v>13.3</v>
      </c>
      <c r="N53">
        <v>20.5</v>
      </c>
      <c r="O53">
        <v>9.6199999999999992</v>
      </c>
      <c r="P53">
        <v>90.14</v>
      </c>
      <c r="Q53">
        <v>0.25</v>
      </c>
    </row>
    <row r="54" spans="1:17">
      <c r="A54">
        <v>69</v>
      </c>
      <c r="B54">
        <v>69</v>
      </c>
      <c r="C54">
        <v>-17</v>
      </c>
      <c r="D54">
        <v>-28</v>
      </c>
      <c r="E54" t="s">
        <v>196</v>
      </c>
      <c r="F54" t="b">
        <v>0</v>
      </c>
      <c r="G54" t="b">
        <v>0</v>
      </c>
      <c r="H54">
        <v>1.9</v>
      </c>
      <c r="I54">
        <v>4.3959999999999999</v>
      </c>
      <c r="J54">
        <v>2.13</v>
      </c>
      <c r="K54">
        <v>4.28</v>
      </c>
      <c r="L54">
        <v>7.73</v>
      </c>
      <c r="M54">
        <v>13.3</v>
      </c>
      <c r="N54">
        <v>20.5</v>
      </c>
      <c r="O54">
        <v>9.6199999999999992</v>
      </c>
      <c r="P54">
        <v>90.14</v>
      </c>
      <c r="Q54">
        <v>0.25</v>
      </c>
    </row>
    <row r="55" spans="1:17">
      <c r="A55">
        <v>69.7</v>
      </c>
      <c r="B55">
        <v>69.7</v>
      </c>
      <c r="C55">
        <v>-17</v>
      </c>
      <c r="D55">
        <v>-27</v>
      </c>
      <c r="E55" t="s">
        <v>196</v>
      </c>
      <c r="F55" t="b">
        <v>0</v>
      </c>
      <c r="G55" t="b">
        <v>0</v>
      </c>
      <c r="H55">
        <v>0.8</v>
      </c>
      <c r="I55">
        <v>4.3959999999999999</v>
      </c>
      <c r="J55">
        <v>4.8499999999999996</v>
      </c>
      <c r="K55">
        <v>7.24</v>
      </c>
      <c r="L55">
        <v>11.5</v>
      </c>
      <c r="M55">
        <v>17.899999999999999</v>
      </c>
      <c r="N55">
        <v>26.1</v>
      </c>
      <c r="O55">
        <v>1E-3</v>
      </c>
      <c r="P55">
        <v>99.59</v>
      </c>
      <c r="Q55">
        <v>0.41</v>
      </c>
    </row>
    <row r="56" spans="1:17">
      <c r="A56">
        <v>70.400000000000006</v>
      </c>
      <c r="B56">
        <v>70.400000000000006</v>
      </c>
      <c r="C56">
        <v>-16</v>
      </c>
      <c r="D56">
        <v>-25</v>
      </c>
      <c r="E56" t="s">
        <v>66</v>
      </c>
      <c r="F56" t="b">
        <v>0</v>
      </c>
      <c r="G56" t="b">
        <v>1</v>
      </c>
      <c r="H56">
        <v>-10.7</v>
      </c>
      <c r="I56">
        <v>4.3959999999999999</v>
      </c>
      <c r="J56">
        <v>4.8499999999999996</v>
      </c>
      <c r="K56">
        <v>7.24</v>
      </c>
      <c r="L56">
        <v>11.5</v>
      </c>
      <c r="M56">
        <v>17.899999999999999</v>
      </c>
      <c r="N56">
        <v>26.1</v>
      </c>
      <c r="O56">
        <v>1E-3</v>
      </c>
      <c r="P56">
        <v>99.59</v>
      </c>
      <c r="Q56">
        <v>0.41</v>
      </c>
    </row>
    <row r="57" spans="1:17">
      <c r="A57">
        <v>72.099999999999994</v>
      </c>
      <c r="B57">
        <v>72.099999999999994</v>
      </c>
      <c r="C57">
        <v>-15</v>
      </c>
      <c r="D57">
        <v>-24</v>
      </c>
      <c r="E57" t="s">
        <v>66</v>
      </c>
      <c r="F57" t="b">
        <v>0</v>
      </c>
      <c r="G57" t="b">
        <v>0</v>
      </c>
      <c r="H57">
        <v>1.7</v>
      </c>
      <c r="I57" t="s">
        <v>159</v>
      </c>
      <c r="J57">
        <v>4.8499999999999996</v>
      </c>
      <c r="K57">
        <v>7.24</v>
      </c>
      <c r="L57">
        <v>11.5</v>
      </c>
      <c r="M57">
        <v>17.899999999999999</v>
      </c>
      <c r="N57">
        <v>26.1</v>
      </c>
      <c r="O57">
        <v>1E-3</v>
      </c>
      <c r="P57">
        <v>99.59</v>
      </c>
      <c r="Q57">
        <v>0.41</v>
      </c>
    </row>
    <row r="58" spans="1:17">
      <c r="A58">
        <v>74.7</v>
      </c>
      <c r="B58">
        <v>74.7</v>
      </c>
      <c r="C58">
        <v>-13</v>
      </c>
      <c r="D58">
        <v>-23</v>
      </c>
      <c r="E58" t="s">
        <v>66</v>
      </c>
      <c r="F58" t="b">
        <v>0</v>
      </c>
      <c r="G58" t="b">
        <v>0</v>
      </c>
      <c r="H58">
        <v>2.6</v>
      </c>
      <c r="I58" t="s">
        <v>159</v>
      </c>
      <c r="J58">
        <v>4.8499999999999996</v>
      </c>
      <c r="K58">
        <v>7.24</v>
      </c>
      <c r="L58">
        <v>11.5</v>
      </c>
      <c r="M58">
        <v>17.899999999999999</v>
      </c>
      <c r="N58">
        <v>26.1</v>
      </c>
      <c r="O58">
        <v>1E-3</v>
      </c>
      <c r="P58">
        <v>99.59</v>
      </c>
      <c r="Q58">
        <v>0.41</v>
      </c>
    </row>
    <row r="59" spans="1:17">
      <c r="A59">
        <v>75.7</v>
      </c>
      <c r="B59">
        <v>75.7</v>
      </c>
      <c r="C59">
        <v>-13</v>
      </c>
      <c r="D59">
        <v>-22</v>
      </c>
      <c r="E59" t="s">
        <v>66</v>
      </c>
      <c r="F59" t="b">
        <v>0</v>
      </c>
      <c r="G59" t="b">
        <v>0</v>
      </c>
      <c r="H59">
        <v>1</v>
      </c>
      <c r="I59" t="s">
        <v>159</v>
      </c>
      <c r="J59">
        <v>4.8499999999999996</v>
      </c>
      <c r="K59">
        <v>7.24</v>
      </c>
      <c r="L59">
        <v>11.5</v>
      </c>
      <c r="M59">
        <v>17.899999999999999</v>
      </c>
      <c r="N59">
        <v>26.1</v>
      </c>
      <c r="O59">
        <v>1E-3</v>
      </c>
      <c r="P59">
        <v>99.59</v>
      </c>
      <c r="Q59">
        <v>0.41</v>
      </c>
    </row>
    <row r="60" spans="1:17">
      <c r="A60">
        <v>76.8</v>
      </c>
      <c r="B60">
        <v>76.8</v>
      </c>
      <c r="C60">
        <v>-12</v>
      </c>
      <c r="D60">
        <v>-21</v>
      </c>
      <c r="E60" t="s">
        <v>66</v>
      </c>
      <c r="F60" t="b">
        <v>0</v>
      </c>
      <c r="G60" t="b">
        <v>0</v>
      </c>
      <c r="H60">
        <v>1.1000000000000001</v>
      </c>
      <c r="I60" t="s">
        <v>159</v>
      </c>
      <c r="J60">
        <v>4.8499999999999996</v>
      </c>
      <c r="K60">
        <v>7.24</v>
      </c>
      <c r="L60">
        <v>11.5</v>
      </c>
      <c r="M60">
        <v>17.899999999999999</v>
      </c>
      <c r="N60">
        <v>26.1</v>
      </c>
      <c r="O60">
        <v>1E-3</v>
      </c>
      <c r="P60">
        <v>99.59</v>
      </c>
      <c r="Q60">
        <v>0.41</v>
      </c>
    </row>
    <row r="61" spans="1:17">
      <c r="A61">
        <v>77.400000000000006</v>
      </c>
      <c r="B61">
        <v>77.400000000000006</v>
      </c>
      <c r="C61">
        <v>-11</v>
      </c>
      <c r="D61">
        <v>-20</v>
      </c>
      <c r="E61" t="s">
        <v>66</v>
      </c>
      <c r="F61" t="b">
        <v>0</v>
      </c>
      <c r="G61" t="b">
        <v>0</v>
      </c>
      <c r="H61">
        <v>0.6</v>
      </c>
      <c r="I61" t="s">
        <v>159</v>
      </c>
      <c r="J61">
        <v>4.8499999999999996</v>
      </c>
      <c r="K61">
        <v>7.24</v>
      </c>
      <c r="L61">
        <v>11.5</v>
      </c>
      <c r="M61">
        <v>17.899999999999999</v>
      </c>
      <c r="N61">
        <v>26.1</v>
      </c>
      <c r="O61">
        <v>1E-3</v>
      </c>
      <c r="P61">
        <v>99.59</v>
      </c>
      <c r="Q61">
        <v>0.41</v>
      </c>
    </row>
    <row r="62" spans="1:17">
      <c r="A62">
        <v>78.599999999999994</v>
      </c>
      <c r="B62">
        <v>78.599999999999994</v>
      </c>
      <c r="C62">
        <v>-10</v>
      </c>
      <c r="D62">
        <v>-19</v>
      </c>
      <c r="E62" t="s">
        <v>66</v>
      </c>
      <c r="F62" t="b">
        <v>0</v>
      </c>
      <c r="G62" t="b">
        <v>0</v>
      </c>
      <c r="H62">
        <v>1.2</v>
      </c>
      <c r="I62" t="s">
        <v>159</v>
      </c>
      <c r="J62">
        <v>4.8499999999999996</v>
      </c>
      <c r="K62">
        <v>7.24</v>
      </c>
      <c r="L62">
        <v>11.5</v>
      </c>
      <c r="M62">
        <v>17.899999999999999</v>
      </c>
      <c r="N62">
        <v>26.1</v>
      </c>
      <c r="O62">
        <v>1E-3</v>
      </c>
      <c r="P62">
        <v>99.59</v>
      </c>
      <c r="Q62">
        <v>0.41</v>
      </c>
    </row>
    <row r="63" spans="1:17">
      <c r="A63">
        <v>80.400000000000006</v>
      </c>
      <c r="B63">
        <v>80.400000000000006</v>
      </c>
      <c r="C63">
        <v>-9</v>
      </c>
      <c r="D63">
        <v>-18</v>
      </c>
      <c r="E63" t="s">
        <v>66</v>
      </c>
      <c r="F63" t="b">
        <v>0</v>
      </c>
      <c r="G63" t="b">
        <v>0</v>
      </c>
      <c r="H63">
        <v>1.8</v>
      </c>
      <c r="I63" t="s">
        <v>159</v>
      </c>
      <c r="J63">
        <v>4.8499999999999996</v>
      </c>
      <c r="K63">
        <v>7.24</v>
      </c>
      <c r="L63">
        <v>11.5</v>
      </c>
      <c r="M63">
        <v>17.899999999999999</v>
      </c>
      <c r="N63">
        <v>26.1</v>
      </c>
      <c r="O63">
        <v>1E-3</v>
      </c>
      <c r="P63">
        <v>99.59</v>
      </c>
      <c r="Q63">
        <v>0.41</v>
      </c>
    </row>
    <row r="64" spans="1:17">
      <c r="A64">
        <v>82.8</v>
      </c>
      <c r="B64">
        <v>82.8</v>
      </c>
      <c r="C64">
        <v>-7</v>
      </c>
      <c r="D64">
        <v>-17</v>
      </c>
      <c r="E64" t="s">
        <v>66</v>
      </c>
      <c r="F64" t="b">
        <v>0</v>
      </c>
      <c r="G64" t="b">
        <v>0</v>
      </c>
      <c r="H64">
        <v>2.4</v>
      </c>
      <c r="I64" t="s">
        <v>159</v>
      </c>
      <c r="J64">
        <v>4.8499999999999996</v>
      </c>
      <c r="K64">
        <v>7.24</v>
      </c>
      <c r="L64">
        <v>11.5</v>
      </c>
      <c r="M64">
        <v>17.899999999999999</v>
      </c>
      <c r="N64">
        <v>26.1</v>
      </c>
      <c r="O64">
        <v>1E-3</v>
      </c>
      <c r="P64">
        <v>99.59</v>
      </c>
      <c r="Q64">
        <v>0.41</v>
      </c>
    </row>
    <row r="65" spans="1:17">
      <c r="A65">
        <v>84.7</v>
      </c>
      <c r="B65">
        <v>84.7</v>
      </c>
      <c r="C65">
        <v>-6</v>
      </c>
      <c r="D65">
        <v>-16</v>
      </c>
      <c r="E65" t="s">
        <v>66</v>
      </c>
      <c r="F65" t="b">
        <v>0</v>
      </c>
      <c r="G65" t="b">
        <v>0</v>
      </c>
      <c r="H65">
        <v>1.9</v>
      </c>
      <c r="I65" t="s">
        <v>159</v>
      </c>
      <c r="J65">
        <v>4.8499999999999996</v>
      </c>
      <c r="K65">
        <v>7.24</v>
      </c>
      <c r="L65">
        <v>11.5</v>
      </c>
      <c r="M65">
        <v>17.899999999999999</v>
      </c>
      <c r="N65">
        <v>26.1</v>
      </c>
      <c r="O65">
        <v>1E-3</v>
      </c>
      <c r="P65">
        <v>99.59</v>
      </c>
      <c r="Q65">
        <v>0.41</v>
      </c>
    </row>
    <row r="66" spans="1:17">
      <c r="A66">
        <v>87.6</v>
      </c>
      <c r="B66">
        <v>87.6</v>
      </c>
      <c r="C66">
        <v>-4</v>
      </c>
      <c r="D66">
        <v>-15</v>
      </c>
      <c r="E66" t="s">
        <v>66</v>
      </c>
      <c r="F66" t="b">
        <v>0</v>
      </c>
      <c r="G66" t="b">
        <v>0</v>
      </c>
      <c r="H66">
        <v>2.9</v>
      </c>
      <c r="I66" t="s">
        <v>159</v>
      </c>
      <c r="J66">
        <v>4.8499999999999996</v>
      </c>
      <c r="K66">
        <v>7.24</v>
      </c>
      <c r="L66">
        <v>11.5</v>
      </c>
      <c r="M66">
        <v>17.899999999999999</v>
      </c>
      <c r="N66">
        <v>26.1</v>
      </c>
      <c r="O66">
        <v>1E-3</v>
      </c>
      <c r="P66">
        <v>99.59</v>
      </c>
      <c r="Q66">
        <v>0.41</v>
      </c>
    </row>
    <row r="67" spans="1:17">
      <c r="A67">
        <v>89.3</v>
      </c>
      <c r="B67">
        <v>89.3</v>
      </c>
      <c r="C67">
        <v>-3</v>
      </c>
      <c r="D67">
        <v>-14</v>
      </c>
      <c r="E67" t="s">
        <v>66</v>
      </c>
      <c r="F67" t="b">
        <v>0</v>
      </c>
      <c r="G67" t="b">
        <v>0</v>
      </c>
      <c r="H67">
        <v>1.7</v>
      </c>
      <c r="I67" t="s">
        <v>159</v>
      </c>
      <c r="J67">
        <v>4.8499999999999996</v>
      </c>
      <c r="K67">
        <v>7.24</v>
      </c>
      <c r="L67">
        <v>11.5</v>
      </c>
      <c r="M67">
        <v>17.899999999999999</v>
      </c>
      <c r="N67">
        <v>26.1</v>
      </c>
      <c r="O67">
        <v>1E-3</v>
      </c>
      <c r="P67">
        <v>99.59</v>
      </c>
      <c r="Q67">
        <v>0.41</v>
      </c>
    </row>
    <row r="68" spans="1:17">
      <c r="A68">
        <v>90.4</v>
      </c>
      <c r="B68">
        <v>90.4</v>
      </c>
      <c r="C68">
        <v>-2</v>
      </c>
      <c r="D68">
        <v>-13</v>
      </c>
      <c r="E68" t="s">
        <v>66</v>
      </c>
      <c r="F68" t="b">
        <v>0</v>
      </c>
      <c r="G68" t="b">
        <v>0</v>
      </c>
      <c r="H68">
        <v>1.2</v>
      </c>
      <c r="I68">
        <v>4.6820000000000004</v>
      </c>
      <c r="J68">
        <v>0.76</v>
      </c>
      <c r="K68">
        <v>2.9</v>
      </c>
      <c r="L68">
        <v>6.06</v>
      </c>
      <c r="M68">
        <v>11.6</v>
      </c>
      <c r="N68">
        <v>19.399999999999999</v>
      </c>
      <c r="O68">
        <v>18.89</v>
      </c>
      <c r="P68">
        <v>81.11</v>
      </c>
      <c r="Q68">
        <v>2.0000000000000001E-4</v>
      </c>
    </row>
    <row r="69" spans="1:17">
      <c r="A69">
        <v>94.5</v>
      </c>
      <c r="B69">
        <v>90.4</v>
      </c>
      <c r="C69">
        <v>-2</v>
      </c>
      <c r="D69">
        <v>-13</v>
      </c>
      <c r="E69" t="s">
        <v>66</v>
      </c>
      <c r="F69" t="b">
        <v>1</v>
      </c>
      <c r="G69" t="b">
        <v>0</v>
      </c>
      <c r="H69">
        <v>4.0999999999999996</v>
      </c>
      <c r="I69">
        <v>4.6820000000000004</v>
      </c>
      <c r="J69">
        <v>0.76</v>
      </c>
      <c r="K69">
        <v>2.9</v>
      </c>
      <c r="L69">
        <v>6.06</v>
      </c>
      <c r="M69">
        <v>11.6</v>
      </c>
      <c r="N69">
        <v>19.399999999999999</v>
      </c>
      <c r="O69">
        <v>18.89</v>
      </c>
      <c r="P69">
        <v>81.11</v>
      </c>
      <c r="Q69">
        <v>2.0000000000000001E-4</v>
      </c>
    </row>
    <row r="70" spans="1:17">
      <c r="A70">
        <v>96.7</v>
      </c>
      <c r="B70">
        <v>92.6</v>
      </c>
      <c r="C70">
        <v>0</v>
      </c>
      <c r="D70">
        <v>-12</v>
      </c>
      <c r="E70" t="s">
        <v>66</v>
      </c>
      <c r="F70" t="b">
        <v>0</v>
      </c>
      <c r="G70" t="b">
        <v>0</v>
      </c>
      <c r="H70">
        <v>2.2000000000000002</v>
      </c>
      <c r="I70">
        <v>4.6820000000000004</v>
      </c>
      <c r="J70">
        <v>0.76</v>
      </c>
      <c r="K70">
        <v>2.9</v>
      </c>
      <c r="L70">
        <v>6.06</v>
      </c>
      <c r="M70">
        <v>11.6</v>
      </c>
      <c r="N70">
        <v>19.399999999999999</v>
      </c>
      <c r="O70">
        <v>18.89</v>
      </c>
      <c r="P70">
        <v>81.11</v>
      </c>
      <c r="Q70">
        <v>2.0000000000000001E-4</v>
      </c>
    </row>
    <row r="71" spans="1:17">
      <c r="A71">
        <v>98.2</v>
      </c>
      <c r="B71">
        <v>94.1</v>
      </c>
      <c r="C71">
        <v>1</v>
      </c>
      <c r="D71">
        <v>-11</v>
      </c>
      <c r="E71" t="s">
        <v>66</v>
      </c>
      <c r="F71" t="b">
        <v>0</v>
      </c>
      <c r="G71" t="b">
        <v>0</v>
      </c>
      <c r="H71">
        <v>1.5</v>
      </c>
      <c r="I71">
        <v>4.6820000000000004</v>
      </c>
      <c r="J71">
        <v>0.76</v>
      </c>
      <c r="K71">
        <v>2.9</v>
      </c>
      <c r="L71">
        <v>6.06</v>
      </c>
      <c r="M71">
        <v>11.6</v>
      </c>
      <c r="N71">
        <v>19.399999999999999</v>
      </c>
      <c r="O71">
        <v>18.89</v>
      </c>
      <c r="P71">
        <v>81.11</v>
      </c>
      <c r="Q71">
        <v>2.0000000000000001E-4</v>
      </c>
    </row>
    <row r="72" spans="1:17">
      <c r="A72">
        <v>99.6</v>
      </c>
      <c r="B72">
        <v>95.5</v>
      </c>
      <c r="C72">
        <v>2</v>
      </c>
      <c r="D72">
        <v>-10</v>
      </c>
      <c r="E72" t="s">
        <v>66</v>
      </c>
      <c r="F72" t="b">
        <v>0</v>
      </c>
      <c r="G72" t="b">
        <v>0</v>
      </c>
      <c r="H72">
        <v>1.5</v>
      </c>
      <c r="I72">
        <v>4.4009999999999998</v>
      </c>
      <c r="J72">
        <v>0.81699999999999995</v>
      </c>
      <c r="K72">
        <v>3.07</v>
      </c>
      <c r="L72">
        <v>5.93</v>
      </c>
      <c r="M72">
        <v>10.6</v>
      </c>
      <c r="N72">
        <v>17.2</v>
      </c>
      <c r="O72">
        <v>17.23</v>
      </c>
      <c r="P72">
        <v>82.77</v>
      </c>
      <c r="Q72">
        <v>0</v>
      </c>
    </row>
    <row r="73" spans="1:17">
      <c r="A73">
        <v>100.8</v>
      </c>
      <c r="B73">
        <v>96.7</v>
      </c>
      <c r="C73">
        <v>3</v>
      </c>
      <c r="D73">
        <v>-9</v>
      </c>
      <c r="E73" t="s">
        <v>66</v>
      </c>
      <c r="F73" t="b">
        <v>0</v>
      </c>
      <c r="G73" t="b">
        <v>0</v>
      </c>
      <c r="H73">
        <v>1.2</v>
      </c>
      <c r="I73">
        <v>4.4009999999999998</v>
      </c>
      <c r="J73">
        <v>0.81699999999999995</v>
      </c>
      <c r="K73">
        <v>3.07</v>
      </c>
      <c r="L73">
        <v>5.93</v>
      </c>
      <c r="M73">
        <v>10.6</v>
      </c>
      <c r="N73">
        <v>17.2</v>
      </c>
      <c r="O73">
        <v>17.23</v>
      </c>
      <c r="P73">
        <v>82.77</v>
      </c>
      <c r="Q73">
        <v>0</v>
      </c>
    </row>
    <row r="74" spans="1:17">
      <c r="A74">
        <v>101.8</v>
      </c>
      <c r="B74">
        <v>97.7</v>
      </c>
      <c r="C74">
        <v>3</v>
      </c>
      <c r="D74">
        <v>-8</v>
      </c>
      <c r="E74" t="s">
        <v>66</v>
      </c>
      <c r="F74" t="b">
        <v>0</v>
      </c>
      <c r="G74" t="b">
        <v>0</v>
      </c>
      <c r="H74">
        <v>1</v>
      </c>
      <c r="I74">
        <v>4.4009999999999998</v>
      </c>
      <c r="J74">
        <v>0.81699999999999995</v>
      </c>
      <c r="K74">
        <v>3.07</v>
      </c>
      <c r="L74">
        <v>5.93</v>
      </c>
      <c r="M74">
        <v>10.6</v>
      </c>
      <c r="N74">
        <v>17.2</v>
      </c>
      <c r="O74">
        <v>17.23</v>
      </c>
      <c r="P74">
        <v>82.77</v>
      </c>
      <c r="Q74">
        <v>0</v>
      </c>
    </row>
    <row r="75" spans="1:17">
      <c r="A75">
        <v>103.4</v>
      </c>
      <c r="B75">
        <v>99.3</v>
      </c>
      <c r="C75">
        <v>5</v>
      </c>
      <c r="D75">
        <v>-7</v>
      </c>
      <c r="E75" t="s">
        <v>66</v>
      </c>
      <c r="F75" t="b">
        <v>0</v>
      </c>
      <c r="G75" t="b">
        <v>0</v>
      </c>
      <c r="H75">
        <v>1.6</v>
      </c>
      <c r="I75">
        <v>4.4009999999999998</v>
      </c>
      <c r="J75">
        <v>0.81699999999999995</v>
      </c>
      <c r="K75">
        <v>3.07</v>
      </c>
      <c r="L75">
        <v>5.93</v>
      </c>
      <c r="M75">
        <v>10.6</v>
      </c>
      <c r="N75">
        <v>17.2</v>
      </c>
      <c r="O75">
        <v>17.23</v>
      </c>
      <c r="P75">
        <v>82.77</v>
      </c>
      <c r="Q75">
        <v>0</v>
      </c>
    </row>
    <row r="76" spans="1:17">
      <c r="A76">
        <v>105.6</v>
      </c>
      <c r="B76">
        <v>101.5</v>
      </c>
      <c r="C76">
        <v>6</v>
      </c>
      <c r="D76">
        <v>-6</v>
      </c>
      <c r="E76" t="s">
        <v>66</v>
      </c>
      <c r="F76" t="b">
        <v>0</v>
      </c>
      <c r="G76" t="b">
        <v>0</v>
      </c>
      <c r="H76">
        <v>2.1</v>
      </c>
      <c r="I76">
        <v>4.4009999999999998</v>
      </c>
      <c r="J76">
        <v>0.81699999999999995</v>
      </c>
      <c r="K76">
        <v>3.07</v>
      </c>
      <c r="L76">
        <v>5.93</v>
      </c>
      <c r="M76">
        <v>10.6</v>
      </c>
      <c r="N76">
        <v>17.2</v>
      </c>
      <c r="O76">
        <v>17.23</v>
      </c>
      <c r="P76">
        <v>82.77</v>
      </c>
      <c r="Q76">
        <v>0</v>
      </c>
    </row>
    <row r="77" spans="1:17">
      <c r="A77">
        <v>106.9</v>
      </c>
      <c r="B77">
        <v>102.7</v>
      </c>
      <c r="C77">
        <v>7</v>
      </c>
      <c r="D77">
        <v>-5</v>
      </c>
      <c r="E77" t="s">
        <v>66</v>
      </c>
      <c r="F77" t="b">
        <v>0</v>
      </c>
      <c r="G77" t="b">
        <v>0</v>
      </c>
      <c r="H77">
        <v>1.3</v>
      </c>
      <c r="I77">
        <v>4.4009999999999998</v>
      </c>
      <c r="J77">
        <v>0.81699999999999995</v>
      </c>
      <c r="K77">
        <v>3.07</v>
      </c>
      <c r="L77">
        <v>5.93</v>
      </c>
      <c r="M77">
        <v>10.6</v>
      </c>
      <c r="N77">
        <v>17.2</v>
      </c>
      <c r="O77">
        <v>17.23</v>
      </c>
      <c r="P77">
        <v>82.77</v>
      </c>
      <c r="Q77">
        <v>0</v>
      </c>
    </row>
    <row r="78" spans="1:17">
      <c r="A78">
        <v>109.1</v>
      </c>
      <c r="B78">
        <v>105</v>
      </c>
      <c r="C78">
        <v>9</v>
      </c>
      <c r="D78">
        <v>-4</v>
      </c>
      <c r="E78" t="s">
        <v>66</v>
      </c>
      <c r="F78" t="b">
        <v>0</v>
      </c>
      <c r="G78" t="b">
        <v>0</v>
      </c>
      <c r="H78">
        <v>2.2999999999999998</v>
      </c>
      <c r="I78">
        <v>4.4009999999999998</v>
      </c>
      <c r="J78">
        <v>0.81699999999999995</v>
      </c>
      <c r="K78">
        <v>3.07</v>
      </c>
      <c r="L78">
        <v>5.93</v>
      </c>
      <c r="M78">
        <v>10.6</v>
      </c>
      <c r="N78">
        <v>17.2</v>
      </c>
      <c r="O78">
        <v>17.23</v>
      </c>
      <c r="P78">
        <v>82.77</v>
      </c>
      <c r="Q78">
        <v>0</v>
      </c>
    </row>
    <row r="79" spans="1:17">
      <c r="A79">
        <v>110</v>
      </c>
      <c r="B79">
        <v>105.9</v>
      </c>
      <c r="C79">
        <v>9</v>
      </c>
      <c r="D79">
        <v>-3</v>
      </c>
      <c r="E79" t="s">
        <v>66</v>
      </c>
      <c r="F79" t="b">
        <v>0</v>
      </c>
      <c r="G79" t="b">
        <v>0</v>
      </c>
      <c r="H79">
        <v>0.9</v>
      </c>
      <c r="I79">
        <v>4.4009999999999998</v>
      </c>
      <c r="J79">
        <v>0.81699999999999995</v>
      </c>
      <c r="K79">
        <v>3.07</v>
      </c>
      <c r="L79">
        <v>5.93</v>
      </c>
      <c r="M79">
        <v>10.6</v>
      </c>
      <c r="N79">
        <v>17.2</v>
      </c>
      <c r="O79">
        <v>17.23</v>
      </c>
      <c r="P79">
        <v>82.77</v>
      </c>
      <c r="Q79">
        <v>0</v>
      </c>
    </row>
    <row r="80" spans="1:17">
      <c r="A80">
        <v>111.7</v>
      </c>
      <c r="B80">
        <v>107.6</v>
      </c>
      <c r="C80">
        <v>10</v>
      </c>
      <c r="D80">
        <v>-2</v>
      </c>
      <c r="E80" t="s">
        <v>66</v>
      </c>
      <c r="F80" t="b">
        <v>0</v>
      </c>
      <c r="G80" t="b">
        <v>0</v>
      </c>
      <c r="H80">
        <v>1.7</v>
      </c>
      <c r="I80">
        <v>4.4009999999999998</v>
      </c>
      <c r="J80">
        <v>0.81699999999999995</v>
      </c>
      <c r="K80">
        <v>3.07</v>
      </c>
      <c r="L80">
        <v>5.93</v>
      </c>
      <c r="M80">
        <v>10.6</v>
      </c>
      <c r="N80">
        <v>17.2</v>
      </c>
      <c r="O80">
        <v>17.23</v>
      </c>
      <c r="P80">
        <v>82.77</v>
      </c>
      <c r="Q80">
        <v>0</v>
      </c>
    </row>
    <row r="81" spans="1:17">
      <c r="A81">
        <v>114.3</v>
      </c>
      <c r="B81">
        <v>110.2</v>
      </c>
      <c r="C81">
        <v>12</v>
      </c>
      <c r="D81">
        <v>-1</v>
      </c>
      <c r="E81" t="s">
        <v>66</v>
      </c>
      <c r="F81" t="b">
        <v>0</v>
      </c>
      <c r="G81" t="b">
        <v>0</v>
      </c>
      <c r="H81">
        <v>2.5</v>
      </c>
      <c r="I81">
        <v>4.4009999999999998</v>
      </c>
      <c r="J81">
        <v>0.81699999999999995</v>
      </c>
      <c r="K81">
        <v>3.07</v>
      </c>
      <c r="L81">
        <v>5.93</v>
      </c>
      <c r="M81">
        <v>10.6</v>
      </c>
      <c r="N81">
        <v>17.2</v>
      </c>
      <c r="O81">
        <v>17.23</v>
      </c>
      <c r="P81">
        <v>82.77</v>
      </c>
      <c r="Q81">
        <v>0</v>
      </c>
    </row>
    <row r="82" spans="1:17">
      <c r="A82">
        <v>116.6</v>
      </c>
      <c r="B82">
        <v>112.5</v>
      </c>
      <c r="C82">
        <v>14</v>
      </c>
      <c r="D82">
        <v>0</v>
      </c>
      <c r="E82" t="s">
        <v>66</v>
      </c>
      <c r="F82" t="b">
        <v>0</v>
      </c>
      <c r="G82" t="b">
        <v>0</v>
      </c>
      <c r="H82">
        <v>2.4</v>
      </c>
      <c r="I82">
        <v>4.4009999999999998</v>
      </c>
      <c r="J82">
        <v>0.81699999999999995</v>
      </c>
      <c r="K82">
        <v>3.07</v>
      </c>
      <c r="L82">
        <v>5.93</v>
      </c>
      <c r="M82">
        <v>10.6</v>
      </c>
      <c r="N82">
        <v>17.2</v>
      </c>
      <c r="O82">
        <v>17.23</v>
      </c>
      <c r="P82">
        <v>82.77</v>
      </c>
      <c r="Q82">
        <v>0</v>
      </c>
    </row>
    <row r="83" spans="1:17">
      <c r="A83">
        <v>117.9</v>
      </c>
      <c r="B83">
        <v>113.8</v>
      </c>
      <c r="C83">
        <v>15</v>
      </c>
      <c r="D83">
        <v>1</v>
      </c>
      <c r="E83" t="s">
        <v>66</v>
      </c>
      <c r="F83" t="b">
        <v>0</v>
      </c>
      <c r="G83" t="b">
        <v>0</v>
      </c>
      <c r="H83">
        <v>1.3</v>
      </c>
      <c r="I83">
        <v>4.4009999999999998</v>
      </c>
      <c r="J83">
        <v>0.81699999999999995</v>
      </c>
      <c r="K83">
        <v>3.07</v>
      </c>
      <c r="L83">
        <v>5.93</v>
      </c>
      <c r="M83">
        <v>10.6</v>
      </c>
      <c r="N83">
        <v>17.2</v>
      </c>
      <c r="O83">
        <v>17.23</v>
      </c>
      <c r="P83">
        <v>82.77</v>
      </c>
      <c r="Q83">
        <v>0</v>
      </c>
    </row>
    <row r="84" spans="1:17">
      <c r="A84">
        <v>119.4</v>
      </c>
      <c r="B84">
        <v>115.3</v>
      </c>
      <c r="C84">
        <v>16</v>
      </c>
      <c r="D84">
        <v>2</v>
      </c>
      <c r="E84" t="s">
        <v>66</v>
      </c>
      <c r="F84" t="b">
        <v>0</v>
      </c>
      <c r="G84" t="b">
        <v>0</v>
      </c>
      <c r="H84">
        <v>1.5</v>
      </c>
      <c r="I84">
        <v>4.4009999999999998</v>
      </c>
      <c r="J84">
        <v>0.81699999999999995</v>
      </c>
      <c r="K84">
        <v>3.07</v>
      </c>
      <c r="L84">
        <v>5.93</v>
      </c>
      <c r="M84">
        <v>10.6</v>
      </c>
      <c r="N84">
        <v>17.2</v>
      </c>
      <c r="O84">
        <v>17.23</v>
      </c>
      <c r="P84">
        <v>82.77</v>
      </c>
      <c r="Q84">
        <v>0</v>
      </c>
    </row>
    <row r="85" spans="1:17">
      <c r="A85">
        <v>122.1</v>
      </c>
      <c r="B85">
        <v>118</v>
      </c>
      <c r="C85">
        <v>18</v>
      </c>
      <c r="D85">
        <v>3</v>
      </c>
      <c r="E85" t="s">
        <v>66</v>
      </c>
      <c r="F85" t="b">
        <v>0</v>
      </c>
      <c r="G85" t="b">
        <v>0</v>
      </c>
      <c r="H85">
        <v>2.7</v>
      </c>
      <c r="I85" t="s">
        <v>159</v>
      </c>
      <c r="J85" t="s">
        <v>159</v>
      </c>
      <c r="K85" t="s">
        <v>159</v>
      </c>
      <c r="L85" t="s">
        <v>159</v>
      </c>
      <c r="M85" t="s">
        <v>159</v>
      </c>
      <c r="N85" t="s">
        <v>159</v>
      </c>
      <c r="O85" t="s">
        <v>159</v>
      </c>
      <c r="P85" t="s">
        <v>159</v>
      </c>
      <c r="Q85" t="s">
        <v>159</v>
      </c>
    </row>
    <row r="86" spans="1:17">
      <c r="A86">
        <v>123.9</v>
      </c>
      <c r="B86">
        <v>119.8</v>
      </c>
      <c r="C86">
        <v>19</v>
      </c>
      <c r="D86">
        <v>4</v>
      </c>
      <c r="E86" t="s">
        <v>66</v>
      </c>
      <c r="F86" t="b">
        <v>0</v>
      </c>
      <c r="G86" t="b">
        <v>0</v>
      </c>
      <c r="H86">
        <v>1.8</v>
      </c>
      <c r="I86" t="s">
        <v>159</v>
      </c>
      <c r="J86" t="s">
        <v>159</v>
      </c>
      <c r="K86" t="s">
        <v>159</v>
      </c>
      <c r="L86" t="s">
        <v>159</v>
      </c>
      <c r="M86" t="s">
        <v>159</v>
      </c>
      <c r="N86" t="s">
        <v>159</v>
      </c>
      <c r="O86" t="s">
        <v>159</v>
      </c>
      <c r="P86" t="s">
        <v>159</v>
      </c>
      <c r="Q86" t="s">
        <v>159</v>
      </c>
    </row>
    <row r="87" spans="1:17">
      <c r="A87">
        <v>125.6</v>
      </c>
      <c r="B87">
        <v>121.5</v>
      </c>
      <c r="C87">
        <v>20</v>
      </c>
      <c r="D87">
        <v>5</v>
      </c>
      <c r="E87" t="s">
        <v>66</v>
      </c>
      <c r="F87" t="b">
        <v>0</v>
      </c>
      <c r="G87" t="b">
        <v>0</v>
      </c>
      <c r="H87">
        <v>1.7</v>
      </c>
      <c r="I87">
        <v>4.9409999999999998</v>
      </c>
      <c r="J87" t="s">
        <v>159</v>
      </c>
      <c r="K87" t="s">
        <v>159</v>
      </c>
      <c r="L87" t="s">
        <v>159</v>
      </c>
      <c r="M87" t="s">
        <v>159</v>
      </c>
      <c r="N87" t="s">
        <v>159</v>
      </c>
      <c r="O87" t="s">
        <v>159</v>
      </c>
      <c r="P87" t="s">
        <v>159</v>
      </c>
      <c r="Q87" t="s">
        <v>159</v>
      </c>
    </row>
    <row r="88" spans="1:17">
      <c r="A88">
        <v>127.6</v>
      </c>
      <c r="B88">
        <v>123.5</v>
      </c>
      <c r="C88">
        <v>22</v>
      </c>
      <c r="D88">
        <v>6</v>
      </c>
      <c r="E88" t="s">
        <v>66</v>
      </c>
      <c r="F88" t="b">
        <v>0</v>
      </c>
      <c r="G88" t="b">
        <v>0</v>
      </c>
      <c r="H88">
        <v>2.1</v>
      </c>
      <c r="I88">
        <v>4.9409999999999998</v>
      </c>
      <c r="J88" t="s">
        <v>159</v>
      </c>
      <c r="K88" t="s">
        <v>159</v>
      </c>
      <c r="L88" t="s">
        <v>159</v>
      </c>
      <c r="M88" t="s">
        <v>159</v>
      </c>
      <c r="N88" t="s">
        <v>159</v>
      </c>
      <c r="O88" t="s">
        <v>159</v>
      </c>
      <c r="P88" t="s">
        <v>159</v>
      </c>
      <c r="Q88" t="s">
        <v>159</v>
      </c>
    </row>
    <row r="89" spans="1:17">
      <c r="A89">
        <v>129.5</v>
      </c>
      <c r="B89">
        <v>125.4</v>
      </c>
      <c r="C89">
        <v>23</v>
      </c>
      <c r="D89">
        <v>7</v>
      </c>
      <c r="E89" t="s">
        <v>66</v>
      </c>
      <c r="F89" t="b">
        <v>0</v>
      </c>
      <c r="G89" t="b">
        <v>0</v>
      </c>
      <c r="H89">
        <v>1.8</v>
      </c>
      <c r="I89">
        <v>4.9409999999999998</v>
      </c>
      <c r="J89" t="s">
        <v>159</v>
      </c>
      <c r="K89" t="s">
        <v>159</v>
      </c>
      <c r="L89" t="s">
        <v>159</v>
      </c>
      <c r="M89" t="s">
        <v>159</v>
      </c>
      <c r="N89" t="s">
        <v>159</v>
      </c>
      <c r="O89" t="s">
        <v>159</v>
      </c>
      <c r="P89" t="s">
        <v>159</v>
      </c>
      <c r="Q89" t="s">
        <v>159</v>
      </c>
    </row>
    <row r="90" spans="1:17">
      <c r="A90">
        <v>130.9</v>
      </c>
      <c r="B90">
        <v>126.8</v>
      </c>
      <c r="C90">
        <v>24</v>
      </c>
      <c r="D90">
        <v>8</v>
      </c>
      <c r="E90" t="s">
        <v>66</v>
      </c>
      <c r="F90" t="b">
        <v>0</v>
      </c>
      <c r="G90" t="b">
        <v>0</v>
      </c>
      <c r="H90">
        <v>1.4</v>
      </c>
      <c r="I90">
        <v>4.9409999999999998</v>
      </c>
      <c r="J90" t="s">
        <v>159</v>
      </c>
      <c r="K90" t="s">
        <v>159</v>
      </c>
      <c r="L90" t="s">
        <v>159</v>
      </c>
      <c r="M90" t="s">
        <v>159</v>
      </c>
      <c r="N90" t="s">
        <v>159</v>
      </c>
      <c r="O90" t="s">
        <v>159</v>
      </c>
      <c r="P90" t="s">
        <v>159</v>
      </c>
      <c r="Q90" t="s">
        <v>159</v>
      </c>
    </row>
    <row r="91" spans="1:17">
      <c r="A91">
        <v>132.6</v>
      </c>
      <c r="B91">
        <v>128.5</v>
      </c>
      <c r="C91">
        <v>25</v>
      </c>
      <c r="D91">
        <v>9</v>
      </c>
      <c r="E91" t="s">
        <v>66</v>
      </c>
      <c r="F91" t="b">
        <v>0</v>
      </c>
      <c r="G91" t="b">
        <v>0</v>
      </c>
      <c r="H91">
        <v>1.7</v>
      </c>
      <c r="I91">
        <v>4.9409999999999998</v>
      </c>
      <c r="J91" t="s">
        <v>159</v>
      </c>
      <c r="K91" t="s">
        <v>159</v>
      </c>
      <c r="L91" t="s">
        <v>159</v>
      </c>
      <c r="M91" t="s">
        <v>159</v>
      </c>
      <c r="N91" t="s">
        <v>159</v>
      </c>
      <c r="O91" t="s">
        <v>159</v>
      </c>
      <c r="P91" t="s">
        <v>159</v>
      </c>
      <c r="Q91" t="s">
        <v>159</v>
      </c>
    </row>
    <row r="92" spans="1:17">
      <c r="A92">
        <v>133.80000000000001</v>
      </c>
      <c r="B92">
        <v>129.69999999999999</v>
      </c>
      <c r="C92">
        <v>26</v>
      </c>
      <c r="D92">
        <v>10</v>
      </c>
      <c r="E92" t="s">
        <v>66</v>
      </c>
      <c r="F92" t="b">
        <v>0</v>
      </c>
      <c r="G92" t="b">
        <v>0</v>
      </c>
      <c r="H92">
        <v>1.2</v>
      </c>
      <c r="I92">
        <v>4.9409999999999998</v>
      </c>
      <c r="J92" t="s">
        <v>159</v>
      </c>
      <c r="K92" t="s">
        <v>159</v>
      </c>
      <c r="L92" t="s">
        <v>159</v>
      </c>
      <c r="M92" t="s">
        <v>159</v>
      </c>
      <c r="N92" t="s">
        <v>159</v>
      </c>
      <c r="O92" t="s">
        <v>159</v>
      </c>
      <c r="P92" t="s">
        <v>159</v>
      </c>
      <c r="Q92" t="s">
        <v>159</v>
      </c>
    </row>
    <row r="93" spans="1:17">
      <c r="A93">
        <v>135.4</v>
      </c>
      <c r="B93">
        <v>131.19999999999999</v>
      </c>
      <c r="C93">
        <v>27</v>
      </c>
      <c r="D93">
        <v>11</v>
      </c>
      <c r="E93" t="s">
        <v>66</v>
      </c>
      <c r="F93" t="b">
        <v>0</v>
      </c>
      <c r="G93" t="b">
        <v>0</v>
      </c>
      <c r="H93">
        <v>1.6</v>
      </c>
      <c r="I93">
        <v>4.9409999999999998</v>
      </c>
      <c r="J93" t="s">
        <v>159</v>
      </c>
      <c r="K93" t="s">
        <v>159</v>
      </c>
      <c r="L93" t="s">
        <v>159</v>
      </c>
      <c r="M93" t="s">
        <v>159</v>
      </c>
      <c r="N93" t="s">
        <v>159</v>
      </c>
      <c r="O93" t="s">
        <v>159</v>
      </c>
      <c r="P93" t="s">
        <v>159</v>
      </c>
      <c r="Q93" t="s">
        <v>159</v>
      </c>
    </row>
    <row r="94" spans="1:17">
      <c r="A94">
        <v>136.6</v>
      </c>
      <c r="B94">
        <v>132.5</v>
      </c>
      <c r="C94">
        <v>28</v>
      </c>
      <c r="D94">
        <v>12</v>
      </c>
      <c r="E94" t="s">
        <v>66</v>
      </c>
      <c r="F94" t="b">
        <v>0</v>
      </c>
      <c r="G94" t="b">
        <v>0</v>
      </c>
      <c r="H94">
        <v>1.2</v>
      </c>
      <c r="I94">
        <v>4.9409999999999998</v>
      </c>
      <c r="J94" t="s">
        <v>159</v>
      </c>
      <c r="K94" t="s">
        <v>159</v>
      </c>
      <c r="L94" t="s">
        <v>159</v>
      </c>
      <c r="M94" t="s">
        <v>159</v>
      </c>
      <c r="N94" t="s">
        <v>159</v>
      </c>
      <c r="O94" t="s">
        <v>159</v>
      </c>
      <c r="P94" t="s">
        <v>159</v>
      </c>
      <c r="Q94" t="s">
        <v>159</v>
      </c>
    </row>
    <row r="95" spans="1:17">
      <c r="A95">
        <v>138.5</v>
      </c>
      <c r="B95">
        <v>134.30000000000001</v>
      </c>
      <c r="C95">
        <v>30</v>
      </c>
      <c r="D95">
        <v>13</v>
      </c>
      <c r="E95" t="s">
        <v>66</v>
      </c>
      <c r="F95" t="b">
        <v>0</v>
      </c>
      <c r="G95" t="b">
        <v>0</v>
      </c>
      <c r="H95">
        <v>1.9</v>
      </c>
      <c r="I95">
        <v>4.9409999999999998</v>
      </c>
      <c r="J95" t="s">
        <v>159</v>
      </c>
      <c r="K95" t="s">
        <v>159</v>
      </c>
      <c r="L95" t="s">
        <v>159</v>
      </c>
      <c r="M95" t="s">
        <v>159</v>
      </c>
      <c r="N95" t="s">
        <v>159</v>
      </c>
      <c r="O95" t="s">
        <v>159</v>
      </c>
      <c r="P95" t="s">
        <v>159</v>
      </c>
      <c r="Q95" t="s">
        <v>159</v>
      </c>
    </row>
    <row r="96" spans="1:17">
      <c r="A96">
        <v>140.1</v>
      </c>
      <c r="B96">
        <v>135.9</v>
      </c>
      <c r="C96">
        <v>31</v>
      </c>
      <c r="D96">
        <v>14</v>
      </c>
      <c r="E96" t="s">
        <v>66</v>
      </c>
      <c r="F96" t="b">
        <v>0</v>
      </c>
      <c r="G96" t="b">
        <v>0</v>
      </c>
      <c r="H96">
        <v>1.6</v>
      </c>
      <c r="I96">
        <v>4.9409999999999998</v>
      </c>
      <c r="J96" t="s">
        <v>159</v>
      </c>
      <c r="K96" t="s">
        <v>159</v>
      </c>
      <c r="L96" t="s">
        <v>159</v>
      </c>
      <c r="M96" t="s">
        <v>159</v>
      </c>
      <c r="N96" t="s">
        <v>159</v>
      </c>
      <c r="O96" t="s">
        <v>159</v>
      </c>
      <c r="P96" t="s">
        <v>159</v>
      </c>
      <c r="Q96" t="s">
        <v>159</v>
      </c>
    </row>
    <row r="97" spans="1:17">
      <c r="A97">
        <v>141.30000000000001</v>
      </c>
      <c r="B97">
        <v>137.19999999999999</v>
      </c>
      <c r="C97">
        <v>32</v>
      </c>
      <c r="D97">
        <v>15</v>
      </c>
      <c r="E97" t="s">
        <v>66</v>
      </c>
      <c r="F97" t="b">
        <v>0</v>
      </c>
      <c r="G97" t="b">
        <v>0</v>
      </c>
      <c r="H97">
        <v>1.3</v>
      </c>
      <c r="I97">
        <v>4.9409999999999998</v>
      </c>
      <c r="J97" t="s">
        <v>159</v>
      </c>
      <c r="K97" t="s">
        <v>159</v>
      </c>
      <c r="L97" t="s">
        <v>159</v>
      </c>
      <c r="M97" t="s">
        <v>159</v>
      </c>
      <c r="N97" t="s">
        <v>159</v>
      </c>
      <c r="O97" t="s">
        <v>159</v>
      </c>
      <c r="P97" t="s">
        <v>159</v>
      </c>
      <c r="Q97" t="s">
        <v>159</v>
      </c>
    </row>
    <row r="98" spans="1:17">
      <c r="A98">
        <v>143.5</v>
      </c>
      <c r="B98">
        <v>139.4</v>
      </c>
      <c r="C98">
        <v>33</v>
      </c>
      <c r="D98">
        <v>16</v>
      </c>
      <c r="E98" t="s">
        <v>66</v>
      </c>
      <c r="F98" t="b">
        <v>0</v>
      </c>
      <c r="G98" t="b">
        <v>0</v>
      </c>
      <c r="H98">
        <v>2.1</v>
      </c>
      <c r="I98">
        <v>4.9409999999999998</v>
      </c>
      <c r="J98" t="s">
        <v>159</v>
      </c>
      <c r="K98" t="s">
        <v>159</v>
      </c>
      <c r="L98" t="s">
        <v>159</v>
      </c>
      <c r="M98" t="s">
        <v>159</v>
      </c>
      <c r="N98" t="s">
        <v>159</v>
      </c>
      <c r="O98" t="s">
        <v>159</v>
      </c>
      <c r="P98" t="s">
        <v>159</v>
      </c>
      <c r="Q98" t="s">
        <v>159</v>
      </c>
    </row>
    <row r="99" spans="1:17">
      <c r="A99">
        <v>145</v>
      </c>
      <c r="B99">
        <v>140.9</v>
      </c>
      <c r="C99">
        <v>34</v>
      </c>
      <c r="D99">
        <v>17</v>
      </c>
      <c r="E99" t="s">
        <v>66</v>
      </c>
      <c r="F99" t="b">
        <v>0</v>
      </c>
      <c r="G99" t="b">
        <v>0</v>
      </c>
      <c r="H99">
        <v>1.5</v>
      </c>
      <c r="I99">
        <v>4.9409999999999998</v>
      </c>
      <c r="J99" t="s">
        <v>159</v>
      </c>
      <c r="K99" t="s">
        <v>159</v>
      </c>
      <c r="L99" t="s">
        <v>159</v>
      </c>
      <c r="M99" t="s">
        <v>159</v>
      </c>
      <c r="N99" t="s">
        <v>159</v>
      </c>
      <c r="O99" t="s">
        <v>159</v>
      </c>
      <c r="P99" t="s">
        <v>159</v>
      </c>
      <c r="Q99" t="s">
        <v>159</v>
      </c>
    </row>
    <row r="100" spans="1:17">
      <c r="A100">
        <v>146.30000000000001</v>
      </c>
      <c r="B100">
        <v>142.19999999999999</v>
      </c>
      <c r="C100">
        <v>35</v>
      </c>
      <c r="D100">
        <v>18</v>
      </c>
      <c r="E100" t="s">
        <v>66</v>
      </c>
      <c r="F100" t="b">
        <v>0</v>
      </c>
      <c r="G100" t="b">
        <v>0</v>
      </c>
      <c r="H100">
        <v>1.3</v>
      </c>
      <c r="I100" t="s">
        <v>159</v>
      </c>
      <c r="J100" t="s">
        <v>159</v>
      </c>
      <c r="K100" t="s">
        <v>159</v>
      </c>
      <c r="L100" t="s">
        <v>159</v>
      </c>
      <c r="M100" t="s">
        <v>159</v>
      </c>
      <c r="N100" t="s">
        <v>159</v>
      </c>
      <c r="O100" t="s">
        <v>159</v>
      </c>
      <c r="P100" t="s">
        <v>159</v>
      </c>
      <c r="Q100" t="s">
        <v>159</v>
      </c>
    </row>
    <row r="101" spans="1:17">
      <c r="A101">
        <v>147.19999999999999</v>
      </c>
      <c r="B101">
        <v>143.1</v>
      </c>
      <c r="C101">
        <v>36</v>
      </c>
      <c r="D101">
        <v>19</v>
      </c>
      <c r="E101" t="s">
        <v>66</v>
      </c>
      <c r="F101" t="b">
        <v>0</v>
      </c>
      <c r="G101" t="b">
        <v>0</v>
      </c>
      <c r="H101">
        <v>0.9</v>
      </c>
      <c r="I101" t="s">
        <v>159</v>
      </c>
      <c r="J101" t="s">
        <v>159</v>
      </c>
      <c r="K101" t="s">
        <v>159</v>
      </c>
      <c r="L101" t="s">
        <v>159</v>
      </c>
      <c r="M101" t="s">
        <v>159</v>
      </c>
      <c r="N101" t="s">
        <v>159</v>
      </c>
      <c r="O101" t="s">
        <v>159</v>
      </c>
      <c r="P101" t="s">
        <v>159</v>
      </c>
      <c r="Q101" t="s">
        <v>159</v>
      </c>
    </row>
    <row r="102" spans="1:17">
      <c r="A102">
        <v>148.19999999999999</v>
      </c>
      <c r="B102">
        <v>144.1</v>
      </c>
      <c r="C102">
        <v>37</v>
      </c>
      <c r="D102">
        <v>20</v>
      </c>
      <c r="E102" t="s">
        <v>66</v>
      </c>
      <c r="F102" t="b">
        <v>0</v>
      </c>
      <c r="G102" t="b">
        <v>0</v>
      </c>
      <c r="H102">
        <v>1</v>
      </c>
      <c r="I102" t="s">
        <v>159</v>
      </c>
      <c r="J102" t="s">
        <v>159</v>
      </c>
      <c r="K102" t="s">
        <v>159</v>
      </c>
      <c r="L102" t="s">
        <v>159</v>
      </c>
      <c r="M102" t="s">
        <v>159</v>
      </c>
      <c r="N102" t="s">
        <v>159</v>
      </c>
      <c r="O102" t="s">
        <v>159</v>
      </c>
      <c r="P102" t="s">
        <v>159</v>
      </c>
      <c r="Q102" t="s">
        <v>159</v>
      </c>
    </row>
    <row r="103" spans="1:17">
      <c r="A103">
        <v>149.19999999999999</v>
      </c>
      <c r="B103">
        <v>145.1</v>
      </c>
      <c r="C103">
        <v>37</v>
      </c>
      <c r="D103">
        <v>21</v>
      </c>
      <c r="E103" t="s">
        <v>66</v>
      </c>
      <c r="F103" t="b">
        <v>0</v>
      </c>
      <c r="G103" t="b">
        <v>0</v>
      </c>
      <c r="H103">
        <v>1</v>
      </c>
      <c r="I103" t="s">
        <v>159</v>
      </c>
      <c r="J103" t="s">
        <v>159</v>
      </c>
      <c r="K103" t="s">
        <v>159</v>
      </c>
      <c r="L103" t="s">
        <v>159</v>
      </c>
      <c r="M103" t="s">
        <v>159</v>
      </c>
      <c r="N103" t="s">
        <v>159</v>
      </c>
      <c r="O103" t="s">
        <v>159</v>
      </c>
      <c r="P103" t="s">
        <v>159</v>
      </c>
      <c r="Q103" t="s">
        <v>159</v>
      </c>
    </row>
    <row r="104" spans="1:17">
      <c r="A104">
        <v>150.4</v>
      </c>
      <c r="B104">
        <v>146.30000000000001</v>
      </c>
      <c r="C104">
        <v>38</v>
      </c>
      <c r="D104">
        <v>22</v>
      </c>
      <c r="E104" t="s">
        <v>66</v>
      </c>
      <c r="F104" t="b">
        <v>0</v>
      </c>
      <c r="G104" t="b">
        <v>0</v>
      </c>
      <c r="H104">
        <v>1.2</v>
      </c>
      <c r="I104">
        <v>4.7560000000000002</v>
      </c>
      <c r="J104" t="s">
        <v>159</v>
      </c>
      <c r="K104" t="s">
        <v>159</v>
      </c>
      <c r="L104" t="s">
        <v>159</v>
      </c>
      <c r="M104" t="s">
        <v>159</v>
      </c>
      <c r="N104" t="s">
        <v>159</v>
      </c>
      <c r="O104" t="s">
        <v>159</v>
      </c>
      <c r="P104" t="s">
        <v>159</v>
      </c>
      <c r="Q104" t="s">
        <v>159</v>
      </c>
    </row>
    <row r="105" spans="1:17">
      <c r="A105">
        <v>151.6</v>
      </c>
      <c r="B105">
        <v>147.5</v>
      </c>
      <c r="C105">
        <v>39</v>
      </c>
      <c r="D105">
        <v>23</v>
      </c>
      <c r="E105" t="s">
        <v>66</v>
      </c>
      <c r="F105" t="b">
        <v>0</v>
      </c>
      <c r="G105" t="b">
        <v>0</v>
      </c>
      <c r="H105">
        <v>1.2</v>
      </c>
      <c r="I105">
        <v>4.7560000000000002</v>
      </c>
      <c r="J105" t="s">
        <v>159</v>
      </c>
      <c r="K105" t="s">
        <v>159</v>
      </c>
      <c r="L105" t="s">
        <v>159</v>
      </c>
      <c r="M105" t="s">
        <v>159</v>
      </c>
      <c r="N105" t="s">
        <v>159</v>
      </c>
      <c r="O105" t="s">
        <v>159</v>
      </c>
      <c r="P105" t="s">
        <v>159</v>
      </c>
      <c r="Q105" t="s">
        <v>159</v>
      </c>
    </row>
    <row r="106" spans="1:17">
      <c r="A106">
        <v>153.19999999999999</v>
      </c>
      <c r="B106">
        <v>149.1</v>
      </c>
      <c r="C106">
        <v>40</v>
      </c>
      <c r="D106">
        <v>24</v>
      </c>
      <c r="E106" t="s">
        <v>66</v>
      </c>
      <c r="F106" t="b">
        <v>0</v>
      </c>
      <c r="G106" t="b">
        <v>0</v>
      </c>
      <c r="H106">
        <v>1.6</v>
      </c>
      <c r="I106">
        <v>4.7560000000000002</v>
      </c>
      <c r="J106" t="s">
        <v>159</v>
      </c>
      <c r="K106" t="s">
        <v>159</v>
      </c>
      <c r="L106" t="s">
        <v>159</v>
      </c>
      <c r="M106" t="s">
        <v>159</v>
      </c>
      <c r="N106" t="s">
        <v>159</v>
      </c>
      <c r="O106" t="s">
        <v>159</v>
      </c>
      <c r="P106" t="s">
        <v>159</v>
      </c>
      <c r="Q106" t="s">
        <v>159</v>
      </c>
    </row>
    <row r="107" spans="1:17">
      <c r="A107">
        <v>154.5</v>
      </c>
      <c r="B107">
        <v>150.4</v>
      </c>
      <c r="C107">
        <v>41</v>
      </c>
      <c r="D107">
        <v>25</v>
      </c>
      <c r="E107" t="s">
        <v>66</v>
      </c>
      <c r="F107" t="b">
        <v>0</v>
      </c>
      <c r="G107" t="b">
        <v>0</v>
      </c>
      <c r="H107">
        <v>1.3</v>
      </c>
      <c r="I107">
        <v>4.7560000000000002</v>
      </c>
      <c r="J107" t="s">
        <v>159</v>
      </c>
      <c r="K107" t="s">
        <v>159</v>
      </c>
      <c r="L107" t="s">
        <v>159</v>
      </c>
      <c r="M107" t="s">
        <v>159</v>
      </c>
      <c r="N107" t="s">
        <v>159</v>
      </c>
      <c r="O107" t="s">
        <v>159</v>
      </c>
      <c r="P107" t="s">
        <v>159</v>
      </c>
      <c r="Q107" t="s">
        <v>159</v>
      </c>
    </row>
    <row r="108" spans="1:17">
      <c r="A108">
        <v>156.1</v>
      </c>
      <c r="B108">
        <v>152</v>
      </c>
      <c r="C108">
        <v>42</v>
      </c>
      <c r="D108">
        <v>26</v>
      </c>
      <c r="E108" t="s">
        <v>66</v>
      </c>
      <c r="F108" t="b">
        <v>0</v>
      </c>
      <c r="G108" t="b">
        <v>0</v>
      </c>
      <c r="H108">
        <v>1.7</v>
      </c>
      <c r="I108">
        <v>4.7560000000000002</v>
      </c>
      <c r="J108" t="s">
        <v>159</v>
      </c>
      <c r="K108" t="s">
        <v>159</v>
      </c>
      <c r="L108" t="s">
        <v>159</v>
      </c>
      <c r="M108" t="s">
        <v>159</v>
      </c>
      <c r="N108" t="s">
        <v>159</v>
      </c>
      <c r="O108" t="s">
        <v>159</v>
      </c>
      <c r="P108" t="s">
        <v>159</v>
      </c>
      <c r="Q108" t="s">
        <v>159</v>
      </c>
    </row>
    <row r="109" spans="1:17">
      <c r="A109">
        <v>157.4</v>
      </c>
      <c r="B109">
        <v>153.30000000000001</v>
      </c>
      <c r="C109">
        <v>43</v>
      </c>
      <c r="D109">
        <v>27</v>
      </c>
      <c r="E109" t="s">
        <v>66</v>
      </c>
      <c r="F109" t="b">
        <v>0</v>
      </c>
      <c r="G109" t="b">
        <v>0</v>
      </c>
      <c r="H109">
        <v>1.3</v>
      </c>
      <c r="I109">
        <v>4.7560000000000002</v>
      </c>
      <c r="J109" t="s">
        <v>159</v>
      </c>
      <c r="K109" t="s">
        <v>159</v>
      </c>
      <c r="L109" t="s">
        <v>159</v>
      </c>
      <c r="M109" t="s">
        <v>159</v>
      </c>
      <c r="N109" t="s">
        <v>159</v>
      </c>
      <c r="O109" t="s">
        <v>159</v>
      </c>
      <c r="P109" t="s">
        <v>159</v>
      </c>
      <c r="Q109" t="s">
        <v>159</v>
      </c>
    </row>
    <row r="110" spans="1:17">
      <c r="A110">
        <v>158.69999999999999</v>
      </c>
      <c r="B110">
        <v>154.6</v>
      </c>
      <c r="C110">
        <v>44</v>
      </c>
      <c r="D110">
        <v>28</v>
      </c>
      <c r="E110" t="s">
        <v>66</v>
      </c>
      <c r="F110" t="b">
        <v>0</v>
      </c>
      <c r="G110" t="b">
        <v>0</v>
      </c>
      <c r="H110">
        <v>1.3</v>
      </c>
      <c r="I110">
        <v>4.7560000000000002</v>
      </c>
      <c r="J110" t="s">
        <v>159</v>
      </c>
      <c r="K110" t="s">
        <v>159</v>
      </c>
      <c r="L110" t="s">
        <v>159</v>
      </c>
      <c r="M110" t="s">
        <v>159</v>
      </c>
      <c r="N110" t="s">
        <v>159</v>
      </c>
      <c r="O110" t="s">
        <v>159</v>
      </c>
      <c r="P110" t="s">
        <v>159</v>
      </c>
      <c r="Q110" t="s">
        <v>159</v>
      </c>
    </row>
    <row r="111" spans="1:17">
      <c r="A111">
        <v>160</v>
      </c>
      <c r="B111">
        <v>155.9</v>
      </c>
      <c r="C111">
        <v>45</v>
      </c>
      <c r="D111">
        <v>29</v>
      </c>
      <c r="E111" t="s">
        <v>66</v>
      </c>
      <c r="F111" t="b">
        <v>0</v>
      </c>
      <c r="G111" t="b">
        <v>0</v>
      </c>
      <c r="H111">
        <v>1.3</v>
      </c>
      <c r="I111">
        <v>4.7560000000000002</v>
      </c>
      <c r="J111" t="s">
        <v>159</v>
      </c>
      <c r="K111" t="s">
        <v>159</v>
      </c>
      <c r="L111" t="s">
        <v>159</v>
      </c>
      <c r="M111" t="s">
        <v>159</v>
      </c>
      <c r="N111" t="s">
        <v>159</v>
      </c>
      <c r="O111" t="s">
        <v>159</v>
      </c>
      <c r="P111" t="s">
        <v>159</v>
      </c>
      <c r="Q111" t="s">
        <v>159</v>
      </c>
    </row>
    <row r="112" spans="1:17">
      <c r="A112">
        <v>161.19999999999999</v>
      </c>
      <c r="B112">
        <v>157.1</v>
      </c>
      <c r="C112">
        <v>46</v>
      </c>
      <c r="D112">
        <v>30</v>
      </c>
      <c r="E112" t="s">
        <v>66</v>
      </c>
      <c r="F112" t="b">
        <v>0</v>
      </c>
      <c r="G112" t="b">
        <v>0</v>
      </c>
      <c r="H112">
        <v>1.2</v>
      </c>
      <c r="I112">
        <v>4.7560000000000002</v>
      </c>
      <c r="J112" t="s">
        <v>159</v>
      </c>
      <c r="K112" t="s">
        <v>159</v>
      </c>
      <c r="L112" t="s">
        <v>159</v>
      </c>
      <c r="M112" t="s">
        <v>159</v>
      </c>
      <c r="N112" t="s">
        <v>159</v>
      </c>
      <c r="O112" t="s">
        <v>159</v>
      </c>
      <c r="P112" t="s">
        <v>159</v>
      </c>
      <c r="Q112" t="s">
        <v>159</v>
      </c>
    </row>
    <row r="113" spans="1:17">
      <c r="A113">
        <v>162.9</v>
      </c>
      <c r="B113">
        <v>158.80000000000001</v>
      </c>
      <c r="C113">
        <v>47</v>
      </c>
      <c r="D113">
        <v>31</v>
      </c>
      <c r="E113" t="s">
        <v>66</v>
      </c>
      <c r="F113" t="b">
        <v>0</v>
      </c>
      <c r="G113" t="b">
        <v>0</v>
      </c>
      <c r="H113">
        <v>1.7</v>
      </c>
      <c r="I113">
        <v>4.7560000000000002</v>
      </c>
      <c r="J113" t="s">
        <v>159</v>
      </c>
      <c r="K113" t="s">
        <v>159</v>
      </c>
      <c r="L113" t="s">
        <v>159</v>
      </c>
      <c r="M113" t="s">
        <v>159</v>
      </c>
      <c r="N113" t="s">
        <v>159</v>
      </c>
      <c r="O113" t="s">
        <v>159</v>
      </c>
      <c r="P113" t="s">
        <v>159</v>
      </c>
      <c r="Q113" t="s">
        <v>159</v>
      </c>
    </row>
    <row r="114" spans="1:17">
      <c r="A114">
        <v>164.7</v>
      </c>
      <c r="B114">
        <v>160.5</v>
      </c>
      <c r="C114">
        <v>49</v>
      </c>
      <c r="D114">
        <v>32</v>
      </c>
      <c r="E114" t="s">
        <v>66</v>
      </c>
      <c r="F114" t="b">
        <v>0</v>
      </c>
      <c r="G114" t="b">
        <v>0</v>
      </c>
      <c r="H114">
        <v>1.7</v>
      </c>
      <c r="I114">
        <v>4.7560000000000002</v>
      </c>
      <c r="J114" t="s">
        <v>159</v>
      </c>
      <c r="K114" t="s">
        <v>159</v>
      </c>
      <c r="L114" t="s">
        <v>159</v>
      </c>
      <c r="M114" t="s">
        <v>159</v>
      </c>
      <c r="N114" t="s">
        <v>159</v>
      </c>
      <c r="O114" t="s">
        <v>159</v>
      </c>
      <c r="P114" t="s">
        <v>159</v>
      </c>
      <c r="Q114" t="s">
        <v>159</v>
      </c>
    </row>
    <row r="115" spans="1:17">
      <c r="A115">
        <v>165.4</v>
      </c>
      <c r="B115">
        <v>161.30000000000001</v>
      </c>
      <c r="C115">
        <v>49</v>
      </c>
      <c r="D115">
        <v>33</v>
      </c>
      <c r="E115" t="s">
        <v>66</v>
      </c>
      <c r="F115" t="b">
        <v>0</v>
      </c>
      <c r="G115" t="b">
        <v>0</v>
      </c>
      <c r="H115">
        <v>0.8</v>
      </c>
      <c r="I115">
        <v>4.7560000000000002</v>
      </c>
      <c r="J115" t="s">
        <v>159</v>
      </c>
      <c r="K115" t="s">
        <v>159</v>
      </c>
      <c r="L115" t="s">
        <v>159</v>
      </c>
      <c r="M115" t="s">
        <v>159</v>
      </c>
      <c r="N115" t="s">
        <v>159</v>
      </c>
      <c r="O115" t="s">
        <v>159</v>
      </c>
      <c r="P115" t="s">
        <v>159</v>
      </c>
      <c r="Q115" t="s">
        <v>159</v>
      </c>
    </row>
    <row r="116" spans="1:17">
      <c r="A116">
        <v>166.2</v>
      </c>
      <c r="B116">
        <v>162.1</v>
      </c>
      <c r="C116">
        <v>50</v>
      </c>
      <c r="D116">
        <v>34</v>
      </c>
      <c r="E116" t="s">
        <v>66</v>
      </c>
      <c r="F116" t="b">
        <v>0</v>
      </c>
      <c r="G116" t="b">
        <v>0</v>
      </c>
      <c r="H116">
        <v>0.8</v>
      </c>
      <c r="I116">
        <v>4.7560000000000002</v>
      </c>
      <c r="J116" t="s">
        <v>159</v>
      </c>
      <c r="K116" t="s">
        <v>159</v>
      </c>
      <c r="L116" t="s">
        <v>159</v>
      </c>
      <c r="M116" t="s">
        <v>159</v>
      </c>
      <c r="N116" t="s">
        <v>159</v>
      </c>
      <c r="O116" t="s">
        <v>159</v>
      </c>
      <c r="P116" t="s">
        <v>159</v>
      </c>
      <c r="Q116" t="s">
        <v>159</v>
      </c>
    </row>
    <row r="117" spans="1:17">
      <c r="A117">
        <v>167.4</v>
      </c>
      <c r="B117">
        <v>163.30000000000001</v>
      </c>
      <c r="C117">
        <v>51</v>
      </c>
      <c r="D117">
        <v>35</v>
      </c>
      <c r="E117" t="s">
        <v>66</v>
      </c>
      <c r="F117" t="b">
        <v>0</v>
      </c>
      <c r="G117" t="b">
        <v>0</v>
      </c>
      <c r="H117">
        <v>1.2</v>
      </c>
      <c r="I117">
        <v>4.7560000000000002</v>
      </c>
      <c r="J117" t="s">
        <v>159</v>
      </c>
      <c r="K117" t="s">
        <v>159</v>
      </c>
      <c r="L117" t="s">
        <v>159</v>
      </c>
      <c r="M117" t="s">
        <v>159</v>
      </c>
      <c r="N117" t="s">
        <v>159</v>
      </c>
      <c r="O117" t="s">
        <v>159</v>
      </c>
      <c r="P117" t="s">
        <v>159</v>
      </c>
      <c r="Q117" t="s">
        <v>159</v>
      </c>
    </row>
    <row r="118" spans="1:17">
      <c r="A118">
        <v>168.5</v>
      </c>
      <c r="B118">
        <v>164.4</v>
      </c>
      <c r="C118">
        <v>51</v>
      </c>
      <c r="D118">
        <v>36</v>
      </c>
      <c r="E118" t="s">
        <v>66</v>
      </c>
      <c r="F118" t="b">
        <v>0</v>
      </c>
      <c r="G118" t="b">
        <v>0</v>
      </c>
      <c r="H118">
        <v>1.1000000000000001</v>
      </c>
      <c r="I118">
        <v>4.7560000000000002</v>
      </c>
      <c r="J118" t="s">
        <v>159</v>
      </c>
      <c r="K118" t="s">
        <v>159</v>
      </c>
      <c r="L118" t="s">
        <v>159</v>
      </c>
      <c r="M118" t="s">
        <v>159</v>
      </c>
      <c r="N118" t="s">
        <v>159</v>
      </c>
      <c r="O118" t="s">
        <v>159</v>
      </c>
      <c r="P118" t="s">
        <v>159</v>
      </c>
      <c r="Q118" t="s">
        <v>159</v>
      </c>
    </row>
    <row r="119" spans="1:17">
      <c r="A119">
        <v>170.1</v>
      </c>
      <c r="B119">
        <v>166</v>
      </c>
      <c r="C119">
        <v>53</v>
      </c>
      <c r="D119">
        <v>37</v>
      </c>
      <c r="E119" t="s">
        <v>66</v>
      </c>
      <c r="F119" t="b">
        <v>0</v>
      </c>
      <c r="G119" t="b">
        <v>0</v>
      </c>
      <c r="H119">
        <v>1.7</v>
      </c>
      <c r="I119">
        <v>4.7560000000000002</v>
      </c>
      <c r="J119" t="s">
        <v>159</v>
      </c>
      <c r="K119" t="s">
        <v>159</v>
      </c>
      <c r="L119" t="s">
        <v>159</v>
      </c>
      <c r="M119" t="s">
        <v>159</v>
      </c>
      <c r="N119" t="s">
        <v>159</v>
      </c>
      <c r="O119" t="s">
        <v>159</v>
      </c>
      <c r="P119" t="s">
        <v>159</v>
      </c>
      <c r="Q119" t="s">
        <v>159</v>
      </c>
    </row>
    <row r="120" spans="1:17">
      <c r="A120">
        <v>171.8</v>
      </c>
      <c r="B120">
        <v>167.7</v>
      </c>
      <c r="C120">
        <v>54</v>
      </c>
      <c r="D120">
        <v>38</v>
      </c>
      <c r="E120" t="s">
        <v>66</v>
      </c>
      <c r="F120" t="b">
        <v>0</v>
      </c>
      <c r="G120" t="b">
        <v>0</v>
      </c>
      <c r="H120">
        <v>1.6</v>
      </c>
      <c r="I120" t="s">
        <v>159</v>
      </c>
      <c r="J120" t="s">
        <v>159</v>
      </c>
      <c r="K120" t="s">
        <v>159</v>
      </c>
      <c r="L120" t="s">
        <v>159</v>
      </c>
      <c r="M120" t="s">
        <v>159</v>
      </c>
      <c r="N120" t="s">
        <v>159</v>
      </c>
      <c r="O120" t="s">
        <v>159</v>
      </c>
      <c r="P120" t="s">
        <v>159</v>
      </c>
      <c r="Q120" t="s">
        <v>159</v>
      </c>
    </row>
    <row r="121" spans="1:17">
      <c r="A121">
        <v>172.9</v>
      </c>
      <c r="B121">
        <v>168.8</v>
      </c>
      <c r="C121">
        <v>55</v>
      </c>
      <c r="D121">
        <v>39</v>
      </c>
      <c r="E121" t="s">
        <v>66</v>
      </c>
      <c r="F121" t="b">
        <v>0</v>
      </c>
      <c r="G121" t="b">
        <v>0</v>
      </c>
      <c r="H121">
        <v>1.2</v>
      </c>
      <c r="I121" t="s">
        <v>159</v>
      </c>
      <c r="J121" t="s">
        <v>159</v>
      </c>
      <c r="K121" t="s">
        <v>159</v>
      </c>
      <c r="L121" t="s">
        <v>159</v>
      </c>
      <c r="M121" t="s">
        <v>159</v>
      </c>
      <c r="N121" t="s">
        <v>159</v>
      </c>
      <c r="O121" t="s">
        <v>159</v>
      </c>
      <c r="P121" t="s">
        <v>159</v>
      </c>
      <c r="Q121" t="s">
        <v>159</v>
      </c>
    </row>
    <row r="122" spans="1:17">
      <c r="A122">
        <v>174.2</v>
      </c>
      <c r="B122">
        <v>170</v>
      </c>
      <c r="C122">
        <v>55</v>
      </c>
      <c r="D122">
        <v>40</v>
      </c>
      <c r="E122" t="s">
        <v>66</v>
      </c>
      <c r="F122" t="b">
        <v>0</v>
      </c>
      <c r="G122" t="b">
        <v>0</v>
      </c>
      <c r="H122">
        <v>1.2</v>
      </c>
      <c r="I122" t="s">
        <v>159</v>
      </c>
      <c r="J122" t="s">
        <v>159</v>
      </c>
      <c r="K122" t="s">
        <v>159</v>
      </c>
      <c r="L122" t="s">
        <v>159</v>
      </c>
      <c r="M122" t="s">
        <v>159</v>
      </c>
      <c r="N122" t="s">
        <v>159</v>
      </c>
      <c r="O122" t="s">
        <v>159</v>
      </c>
      <c r="P122" t="s">
        <v>159</v>
      </c>
      <c r="Q122" t="s">
        <v>159</v>
      </c>
    </row>
    <row r="123" spans="1:17">
      <c r="A123">
        <v>175.8</v>
      </c>
      <c r="B123">
        <v>171.7</v>
      </c>
      <c r="C123">
        <v>57</v>
      </c>
      <c r="D123">
        <v>41</v>
      </c>
      <c r="E123" t="s">
        <v>66</v>
      </c>
      <c r="F123" t="b">
        <v>0</v>
      </c>
      <c r="G123" t="b">
        <v>0</v>
      </c>
      <c r="H123">
        <v>1.6</v>
      </c>
      <c r="I123">
        <v>4.6669999999999998</v>
      </c>
      <c r="J123" t="s">
        <v>159</v>
      </c>
      <c r="K123" t="s">
        <v>159</v>
      </c>
      <c r="L123" t="s">
        <v>159</v>
      </c>
      <c r="M123" t="s">
        <v>159</v>
      </c>
      <c r="N123" t="s">
        <v>159</v>
      </c>
      <c r="O123" t="s">
        <v>159</v>
      </c>
      <c r="P123" t="s">
        <v>159</v>
      </c>
      <c r="Q123" t="s">
        <v>159</v>
      </c>
    </row>
    <row r="124" spans="1:17">
      <c r="A124">
        <v>177</v>
      </c>
      <c r="B124">
        <v>172.9</v>
      </c>
      <c r="C124">
        <v>57</v>
      </c>
      <c r="D124">
        <v>42</v>
      </c>
      <c r="E124" t="s">
        <v>66</v>
      </c>
      <c r="F124" t="b">
        <v>0</v>
      </c>
      <c r="G124" t="b">
        <v>0</v>
      </c>
      <c r="H124">
        <v>1.2</v>
      </c>
      <c r="I124">
        <v>4.6669999999999998</v>
      </c>
      <c r="J124" t="s">
        <v>159</v>
      </c>
      <c r="K124" t="s">
        <v>159</v>
      </c>
      <c r="L124" t="s">
        <v>159</v>
      </c>
      <c r="M124" t="s">
        <v>159</v>
      </c>
      <c r="N124" t="s">
        <v>159</v>
      </c>
      <c r="O124" t="s">
        <v>159</v>
      </c>
      <c r="P124" t="s">
        <v>159</v>
      </c>
      <c r="Q124" t="s">
        <v>159</v>
      </c>
    </row>
    <row r="125" spans="1:17">
      <c r="A125">
        <v>179</v>
      </c>
      <c r="B125">
        <v>174.9</v>
      </c>
      <c r="C125">
        <v>59</v>
      </c>
      <c r="D125">
        <v>43</v>
      </c>
      <c r="E125" t="s">
        <v>66</v>
      </c>
      <c r="F125" t="b">
        <v>0</v>
      </c>
      <c r="G125" t="b">
        <v>0</v>
      </c>
      <c r="H125">
        <v>2</v>
      </c>
      <c r="I125">
        <v>4.6669999999999998</v>
      </c>
      <c r="J125" t="s">
        <v>159</v>
      </c>
      <c r="K125" t="s">
        <v>159</v>
      </c>
      <c r="L125" t="s">
        <v>159</v>
      </c>
      <c r="M125" t="s">
        <v>159</v>
      </c>
      <c r="N125" t="s">
        <v>159</v>
      </c>
      <c r="O125" t="s">
        <v>159</v>
      </c>
      <c r="P125" t="s">
        <v>159</v>
      </c>
      <c r="Q125" t="s">
        <v>159</v>
      </c>
    </row>
    <row r="126" spans="1:17">
      <c r="A126">
        <v>180.5</v>
      </c>
      <c r="B126">
        <v>176.4</v>
      </c>
      <c r="C126">
        <v>60</v>
      </c>
      <c r="D126">
        <v>44</v>
      </c>
      <c r="E126" t="s">
        <v>66</v>
      </c>
      <c r="F126" t="b">
        <v>0</v>
      </c>
      <c r="G126" t="b">
        <v>0</v>
      </c>
      <c r="H126">
        <v>1.5</v>
      </c>
      <c r="I126">
        <v>4.6669999999999998</v>
      </c>
      <c r="J126" t="s">
        <v>159</v>
      </c>
      <c r="K126" t="s">
        <v>159</v>
      </c>
      <c r="L126" t="s">
        <v>159</v>
      </c>
      <c r="M126" t="s">
        <v>159</v>
      </c>
      <c r="N126" t="s">
        <v>159</v>
      </c>
      <c r="O126" t="s">
        <v>159</v>
      </c>
      <c r="P126" t="s">
        <v>159</v>
      </c>
      <c r="Q126" t="s">
        <v>159</v>
      </c>
    </row>
    <row r="127" spans="1:17">
      <c r="A127">
        <v>182.7</v>
      </c>
      <c r="B127">
        <v>178.6</v>
      </c>
      <c r="C127">
        <v>62</v>
      </c>
      <c r="D127">
        <v>45</v>
      </c>
      <c r="E127" t="s">
        <v>66</v>
      </c>
      <c r="F127" t="b">
        <v>0</v>
      </c>
      <c r="G127" t="b">
        <v>0</v>
      </c>
      <c r="H127">
        <v>2.2000000000000002</v>
      </c>
      <c r="I127">
        <v>4.6669999999999998</v>
      </c>
      <c r="J127" t="s">
        <v>159</v>
      </c>
      <c r="K127" t="s">
        <v>159</v>
      </c>
      <c r="L127" t="s">
        <v>159</v>
      </c>
      <c r="M127" t="s">
        <v>159</v>
      </c>
      <c r="N127" t="s">
        <v>159</v>
      </c>
      <c r="O127" t="s">
        <v>159</v>
      </c>
      <c r="P127" t="s">
        <v>159</v>
      </c>
      <c r="Q127" t="s">
        <v>159</v>
      </c>
    </row>
    <row r="128" spans="1:17">
      <c r="A128">
        <v>184.2</v>
      </c>
      <c r="B128">
        <v>180.1</v>
      </c>
      <c r="C128">
        <v>63</v>
      </c>
      <c r="D128">
        <v>46</v>
      </c>
      <c r="E128" t="s">
        <v>66</v>
      </c>
      <c r="F128" t="b">
        <v>0</v>
      </c>
      <c r="G128" t="b">
        <v>0</v>
      </c>
      <c r="H128">
        <v>1.5</v>
      </c>
      <c r="I128">
        <v>4.6669999999999998</v>
      </c>
      <c r="J128" t="s">
        <v>159</v>
      </c>
      <c r="K128" t="s">
        <v>159</v>
      </c>
      <c r="L128" t="s">
        <v>159</v>
      </c>
      <c r="M128" t="s">
        <v>159</v>
      </c>
      <c r="N128" t="s">
        <v>159</v>
      </c>
      <c r="O128" t="s">
        <v>159</v>
      </c>
      <c r="P128" t="s">
        <v>159</v>
      </c>
      <c r="Q128" t="s">
        <v>159</v>
      </c>
    </row>
    <row r="129" spans="1:17">
      <c r="A129">
        <v>187</v>
      </c>
      <c r="B129">
        <v>182.9</v>
      </c>
      <c r="C129">
        <v>65</v>
      </c>
      <c r="D129">
        <v>47</v>
      </c>
      <c r="E129" t="s">
        <v>66</v>
      </c>
      <c r="F129" t="b">
        <v>0</v>
      </c>
      <c r="G129" t="b">
        <v>0</v>
      </c>
      <c r="H129">
        <v>2.9</v>
      </c>
      <c r="I129">
        <v>4.6669999999999998</v>
      </c>
      <c r="J129" t="s">
        <v>159</v>
      </c>
      <c r="K129" t="s">
        <v>159</v>
      </c>
      <c r="L129" t="s">
        <v>159</v>
      </c>
      <c r="M129" t="s">
        <v>159</v>
      </c>
      <c r="N129" t="s">
        <v>159</v>
      </c>
      <c r="O129" t="s">
        <v>159</v>
      </c>
      <c r="P129" t="s">
        <v>159</v>
      </c>
      <c r="Q129" t="s">
        <v>159</v>
      </c>
    </row>
    <row r="130" spans="1:17">
      <c r="A130">
        <v>188.2</v>
      </c>
      <c r="B130">
        <v>184.1</v>
      </c>
      <c r="C130">
        <v>66</v>
      </c>
      <c r="D130">
        <v>48</v>
      </c>
      <c r="E130" t="s">
        <v>66</v>
      </c>
      <c r="F130" t="b">
        <v>0</v>
      </c>
      <c r="G130" t="b">
        <v>0</v>
      </c>
      <c r="H130">
        <v>1.2</v>
      </c>
      <c r="I130">
        <v>4.6669999999999998</v>
      </c>
      <c r="J130" t="s">
        <v>159</v>
      </c>
      <c r="K130" t="s">
        <v>159</v>
      </c>
      <c r="L130" t="s">
        <v>159</v>
      </c>
      <c r="M130" t="s">
        <v>159</v>
      </c>
      <c r="N130" t="s">
        <v>159</v>
      </c>
      <c r="O130" t="s">
        <v>159</v>
      </c>
      <c r="P130" t="s">
        <v>159</v>
      </c>
      <c r="Q130" t="s">
        <v>159</v>
      </c>
    </row>
    <row r="131" spans="1:17">
      <c r="A131">
        <v>189.2</v>
      </c>
      <c r="B131">
        <v>185.1</v>
      </c>
      <c r="C131">
        <v>66</v>
      </c>
      <c r="D131">
        <v>49</v>
      </c>
      <c r="E131" t="s">
        <v>66</v>
      </c>
      <c r="F131" t="b">
        <v>0</v>
      </c>
      <c r="G131" t="b">
        <v>0</v>
      </c>
      <c r="H131">
        <v>1</v>
      </c>
      <c r="I131">
        <v>4.6669999999999998</v>
      </c>
      <c r="J131" t="s">
        <v>159</v>
      </c>
      <c r="K131" t="s">
        <v>159</v>
      </c>
      <c r="L131" t="s">
        <v>159</v>
      </c>
      <c r="M131" t="s">
        <v>159</v>
      </c>
      <c r="N131" t="s">
        <v>159</v>
      </c>
      <c r="O131" t="s">
        <v>159</v>
      </c>
      <c r="P131" t="s">
        <v>159</v>
      </c>
      <c r="Q131" t="s">
        <v>159</v>
      </c>
    </row>
    <row r="132" spans="1:17">
      <c r="A132">
        <v>191.3</v>
      </c>
      <c r="B132">
        <v>187.2</v>
      </c>
      <c r="C132">
        <v>68</v>
      </c>
      <c r="D132">
        <v>50</v>
      </c>
      <c r="E132" t="s">
        <v>66</v>
      </c>
      <c r="F132" t="b">
        <v>0</v>
      </c>
      <c r="G132" t="b">
        <v>0</v>
      </c>
      <c r="H132">
        <v>2.1</v>
      </c>
      <c r="I132">
        <v>4.6669999999999998</v>
      </c>
      <c r="J132" t="s">
        <v>159</v>
      </c>
      <c r="K132" t="s">
        <v>159</v>
      </c>
      <c r="L132" t="s">
        <v>159</v>
      </c>
      <c r="M132" t="s">
        <v>159</v>
      </c>
      <c r="N132" t="s">
        <v>159</v>
      </c>
      <c r="O132" t="s">
        <v>159</v>
      </c>
      <c r="P132" t="s">
        <v>159</v>
      </c>
      <c r="Q132" t="s">
        <v>159</v>
      </c>
    </row>
    <row r="133" spans="1:17">
      <c r="A133">
        <v>193.2</v>
      </c>
      <c r="B133">
        <v>189.1</v>
      </c>
      <c r="C133">
        <v>69</v>
      </c>
      <c r="D133">
        <v>51</v>
      </c>
      <c r="E133" t="s">
        <v>66</v>
      </c>
      <c r="F133" t="b">
        <v>0</v>
      </c>
      <c r="G133" t="b">
        <v>0</v>
      </c>
      <c r="H133">
        <v>1.9</v>
      </c>
      <c r="I133">
        <v>4.6669999999999998</v>
      </c>
      <c r="J133" t="s">
        <v>159</v>
      </c>
      <c r="K133" t="s">
        <v>159</v>
      </c>
      <c r="L133" t="s">
        <v>159</v>
      </c>
      <c r="M133" t="s">
        <v>159</v>
      </c>
      <c r="N133" t="s">
        <v>159</v>
      </c>
      <c r="O133" t="s">
        <v>159</v>
      </c>
      <c r="P133" t="s">
        <v>159</v>
      </c>
      <c r="Q133" t="s">
        <v>159</v>
      </c>
    </row>
    <row r="134" spans="1:17">
      <c r="A134">
        <v>194.7</v>
      </c>
      <c r="B134">
        <v>190.6</v>
      </c>
      <c r="C134">
        <v>70</v>
      </c>
      <c r="D134">
        <v>52</v>
      </c>
      <c r="E134" t="s">
        <v>66</v>
      </c>
      <c r="F134" t="b">
        <v>0</v>
      </c>
      <c r="G134" t="b">
        <v>0</v>
      </c>
      <c r="H134">
        <v>1.5</v>
      </c>
      <c r="I134">
        <v>4.6669999999999998</v>
      </c>
      <c r="J134" t="s">
        <v>159</v>
      </c>
      <c r="K134" t="s">
        <v>159</v>
      </c>
      <c r="L134" t="s">
        <v>159</v>
      </c>
      <c r="M134" t="s">
        <v>159</v>
      </c>
      <c r="N134" t="s">
        <v>159</v>
      </c>
      <c r="O134" t="s">
        <v>159</v>
      </c>
      <c r="P134" t="s">
        <v>159</v>
      </c>
      <c r="Q134" t="s">
        <v>159</v>
      </c>
    </row>
    <row r="135" spans="1:17">
      <c r="A135">
        <v>196.5</v>
      </c>
      <c r="B135">
        <v>192.4</v>
      </c>
      <c r="C135">
        <v>71</v>
      </c>
      <c r="D135">
        <v>53</v>
      </c>
      <c r="E135" t="s">
        <v>66</v>
      </c>
      <c r="F135" t="b">
        <v>0</v>
      </c>
      <c r="G135" t="b">
        <v>0</v>
      </c>
      <c r="H135">
        <v>1.8</v>
      </c>
      <c r="I135" t="s">
        <v>159</v>
      </c>
      <c r="J135" t="s">
        <v>159</v>
      </c>
      <c r="K135" t="s">
        <v>159</v>
      </c>
      <c r="L135" t="s">
        <v>159</v>
      </c>
      <c r="M135" t="s">
        <v>159</v>
      </c>
      <c r="N135" t="s">
        <v>159</v>
      </c>
      <c r="O135" t="s">
        <v>159</v>
      </c>
      <c r="P135" t="s">
        <v>159</v>
      </c>
      <c r="Q135" t="s">
        <v>159</v>
      </c>
    </row>
    <row r="136" spans="1:17">
      <c r="A136">
        <v>198.5</v>
      </c>
      <c r="B136">
        <v>194.4</v>
      </c>
      <c r="C136">
        <v>73</v>
      </c>
      <c r="D136">
        <v>54</v>
      </c>
      <c r="E136" t="s">
        <v>66</v>
      </c>
      <c r="F136" t="b">
        <v>0</v>
      </c>
      <c r="G136" t="b">
        <v>0</v>
      </c>
      <c r="H136">
        <v>2</v>
      </c>
      <c r="I136" t="s">
        <v>159</v>
      </c>
      <c r="J136" t="s">
        <v>159</v>
      </c>
      <c r="K136" t="s">
        <v>159</v>
      </c>
      <c r="L136" t="s">
        <v>159</v>
      </c>
      <c r="M136" t="s">
        <v>159</v>
      </c>
      <c r="N136" t="s">
        <v>159</v>
      </c>
      <c r="O136" t="s">
        <v>159</v>
      </c>
      <c r="P136" t="s">
        <v>159</v>
      </c>
      <c r="Q136" t="s">
        <v>159</v>
      </c>
    </row>
    <row r="137" spans="1:17">
      <c r="A137">
        <v>199.5</v>
      </c>
      <c r="B137">
        <v>195.4</v>
      </c>
      <c r="C137">
        <v>74</v>
      </c>
      <c r="D137">
        <v>55</v>
      </c>
      <c r="E137" t="s">
        <v>66</v>
      </c>
      <c r="F137" t="b">
        <v>0</v>
      </c>
      <c r="G137" t="b">
        <v>0</v>
      </c>
      <c r="H137">
        <v>1</v>
      </c>
      <c r="I137">
        <v>5.0599999999999996</v>
      </c>
      <c r="J137">
        <v>0.83099999999999996</v>
      </c>
      <c r="K137">
        <v>3.17</v>
      </c>
      <c r="L137">
        <v>6.55</v>
      </c>
      <c r="M137">
        <v>12.9</v>
      </c>
      <c r="N137">
        <v>22.5</v>
      </c>
      <c r="O137">
        <v>17</v>
      </c>
      <c r="P137">
        <v>82.52</v>
      </c>
      <c r="Q137">
        <v>0.48</v>
      </c>
    </row>
    <row r="138" spans="1:17">
      <c r="A138">
        <v>201</v>
      </c>
      <c r="B138">
        <v>196.9</v>
      </c>
      <c r="C138">
        <v>75</v>
      </c>
      <c r="D138">
        <v>56</v>
      </c>
      <c r="E138" t="s">
        <v>66</v>
      </c>
      <c r="F138" t="b">
        <v>0</v>
      </c>
      <c r="G138" t="b">
        <v>0</v>
      </c>
      <c r="H138">
        <v>1.4</v>
      </c>
      <c r="I138">
        <v>5.0599999999999996</v>
      </c>
      <c r="J138">
        <v>0.83099999999999996</v>
      </c>
      <c r="K138">
        <v>3.17</v>
      </c>
      <c r="L138">
        <v>6.55</v>
      </c>
      <c r="M138">
        <v>12.9</v>
      </c>
      <c r="N138">
        <v>22.5</v>
      </c>
      <c r="O138">
        <v>17</v>
      </c>
      <c r="P138">
        <v>82.52</v>
      </c>
      <c r="Q138">
        <v>0.48</v>
      </c>
    </row>
    <row r="139" spans="1:17">
      <c r="A139">
        <v>202.8</v>
      </c>
      <c r="B139">
        <v>198.7</v>
      </c>
      <c r="C139">
        <v>76</v>
      </c>
      <c r="D139">
        <v>57</v>
      </c>
      <c r="E139" t="s">
        <v>66</v>
      </c>
      <c r="F139" t="b">
        <v>0</v>
      </c>
      <c r="G139" t="b">
        <v>0</v>
      </c>
      <c r="H139">
        <v>1.8</v>
      </c>
      <c r="I139">
        <v>5.0599999999999996</v>
      </c>
      <c r="J139">
        <v>0.83099999999999996</v>
      </c>
      <c r="K139">
        <v>3.17</v>
      </c>
      <c r="L139">
        <v>6.55</v>
      </c>
      <c r="M139">
        <v>12.9</v>
      </c>
      <c r="N139">
        <v>22.5</v>
      </c>
      <c r="O139">
        <v>17</v>
      </c>
      <c r="P139">
        <v>82.52</v>
      </c>
      <c r="Q139">
        <v>0.48</v>
      </c>
    </row>
    <row r="140" spans="1:17">
      <c r="A140">
        <v>203.7</v>
      </c>
      <c r="B140">
        <v>199.6</v>
      </c>
      <c r="C140">
        <v>77</v>
      </c>
      <c r="D140">
        <v>58</v>
      </c>
      <c r="E140" t="s">
        <v>66</v>
      </c>
      <c r="F140" t="b">
        <v>0</v>
      </c>
      <c r="G140" t="b">
        <v>0</v>
      </c>
      <c r="H140">
        <v>0.9</v>
      </c>
      <c r="I140">
        <v>5.0599999999999996</v>
      </c>
      <c r="J140">
        <v>0.83099999999999996</v>
      </c>
      <c r="K140">
        <v>3.17</v>
      </c>
      <c r="L140">
        <v>6.55</v>
      </c>
      <c r="M140">
        <v>12.9</v>
      </c>
      <c r="N140">
        <v>22.5</v>
      </c>
      <c r="O140">
        <v>17</v>
      </c>
      <c r="P140">
        <v>82.52</v>
      </c>
      <c r="Q140">
        <v>0.48</v>
      </c>
    </row>
    <row r="141" spans="1:17">
      <c r="A141">
        <v>204.7</v>
      </c>
      <c r="B141">
        <v>200.6</v>
      </c>
      <c r="C141">
        <v>77</v>
      </c>
      <c r="D141">
        <v>59</v>
      </c>
      <c r="E141" t="s">
        <v>66</v>
      </c>
      <c r="F141" t="b">
        <v>0</v>
      </c>
      <c r="G141" t="b">
        <v>0</v>
      </c>
      <c r="H141">
        <v>1</v>
      </c>
      <c r="I141">
        <v>5.0599999999999996</v>
      </c>
      <c r="J141">
        <v>0.83099999999999996</v>
      </c>
      <c r="K141">
        <v>3.17</v>
      </c>
      <c r="L141">
        <v>6.55</v>
      </c>
      <c r="M141">
        <v>12.9</v>
      </c>
      <c r="N141">
        <v>22.5</v>
      </c>
      <c r="O141">
        <v>17</v>
      </c>
      <c r="P141">
        <v>82.52</v>
      </c>
      <c r="Q141">
        <v>0.48</v>
      </c>
    </row>
    <row r="142" spans="1:17">
      <c r="A142">
        <v>206.1</v>
      </c>
      <c r="B142">
        <v>202</v>
      </c>
      <c r="C142">
        <v>78</v>
      </c>
      <c r="D142">
        <v>60</v>
      </c>
      <c r="E142" t="s">
        <v>66</v>
      </c>
      <c r="F142" t="b">
        <v>0</v>
      </c>
      <c r="G142" t="b">
        <v>0</v>
      </c>
      <c r="H142">
        <v>1.4</v>
      </c>
      <c r="I142">
        <v>5.0599999999999996</v>
      </c>
      <c r="J142">
        <v>0.83099999999999996</v>
      </c>
      <c r="K142">
        <v>3.17</v>
      </c>
      <c r="L142">
        <v>6.55</v>
      </c>
      <c r="M142">
        <v>12.9</v>
      </c>
      <c r="N142">
        <v>22.5</v>
      </c>
      <c r="O142">
        <v>17</v>
      </c>
      <c r="P142">
        <v>82.52</v>
      </c>
      <c r="Q142">
        <v>0.48</v>
      </c>
    </row>
    <row r="143" spans="1:17">
      <c r="A143">
        <v>207.4</v>
      </c>
      <c r="B143">
        <v>203.3</v>
      </c>
      <c r="C143">
        <v>79</v>
      </c>
      <c r="D143">
        <v>61</v>
      </c>
      <c r="E143" t="s">
        <v>66</v>
      </c>
      <c r="F143" t="b">
        <v>0</v>
      </c>
      <c r="G143" t="b">
        <v>0</v>
      </c>
      <c r="H143">
        <v>1.3</v>
      </c>
      <c r="I143">
        <v>5.0599999999999996</v>
      </c>
      <c r="J143">
        <v>0.83099999999999996</v>
      </c>
      <c r="K143">
        <v>3.17</v>
      </c>
      <c r="L143">
        <v>6.55</v>
      </c>
      <c r="M143">
        <v>12.9</v>
      </c>
      <c r="N143">
        <v>22.5</v>
      </c>
      <c r="O143">
        <v>17</v>
      </c>
      <c r="P143">
        <v>82.52</v>
      </c>
      <c r="Q143">
        <v>0.48</v>
      </c>
    </row>
    <row r="144" spans="1:17">
      <c r="A144">
        <v>208.8</v>
      </c>
      <c r="B144">
        <v>204.7</v>
      </c>
      <c r="C144">
        <v>80</v>
      </c>
      <c r="D144">
        <v>62</v>
      </c>
      <c r="E144" t="s">
        <v>66</v>
      </c>
      <c r="F144" t="b">
        <v>0</v>
      </c>
      <c r="G144" t="b">
        <v>0</v>
      </c>
      <c r="H144">
        <v>1.5</v>
      </c>
      <c r="I144">
        <v>5.0599999999999996</v>
      </c>
      <c r="J144">
        <v>0.83099999999999996</v>
      </c>
      <c r="K144">
        <v>3.17</v>
      </c>
      <c r="L144">
        <v>6.55</v>
      </c>
      <c r="M144">
        <v>12.9</v>
      </c>
      <c r="N144">
        <v>22.5</v>
      </c>
      <c r="O144">
        <v>17</v>
      </c>
      <c r="P144">
        <v>82.52</v>
      </c>
      <c r="Q144">
        <v>0.48</v>
      </c>
    </row>
    <row r="145" spans="1:17">
      <c r="A145">
        <v>209.3</v>
      </c>
      <c r="B145">
        <v>205.2</v>
      </c>
      <c r="C145">
        <v>81</v>
      </c>
      <c r="D145">
        <v>63</v>
      </c>
      <c r="E145" t="s">
        <v>66</v>
      </c>
      <c r="F145" t="b">
        <v>0</v>
      </c>
      <c r="G145" t="b">
        <v>0</v>
      </c>
      <c r="H145">
        <v>0.4</v>
      </c>
      <c r="I145">
        <v>5.0599999999999996</v>
      </c>
      <c r="J145">
        <v>0.83099999999999996</v>
      </c>
      <c r="K145">
        <v>3.17</v>
      </c>
      <c r="L145">
        <v>6.55</v>
      </c>
      <c r="M145">
        <v>12.9</v>
      </c>
      <c r="N145">
        <v>22.5</v>
      </c>
      <c r="O145">
        <v>17</v>
      </c>
      <c r="P145">
        <v>82.52</v>
      </c>
      <c r="Q145">
        <v>0.48</v>
      </c>
    </row>
    <row r="146" spans="1:17">
      <c r="A146">
        <v>210</v>
      </c>
      <c r="B146">
        <v>205.9</v>
      </c>
      <c r="C146">
        <v>81</v>
      </c>
      <c r="D146">
        <v>64</v>
      </c>
      <c r="E146" t="s">
        <v>66</v>
      </c>
      <c r="F146" t="b">
        <v>0</v>
      </c>
      <c r="G146" t="b">
        <v>0</v>
      </c>
      <c r="H146">
        <v>0.7</v>
      </c>
      <c r="I146">
        <v>5.0599999999999996</v>
      </c>
      <c r="J146">
        <v>0.83099999999999996</v>
      </c>
      <c r="K146">
        <v>3.17</v>
      </c>
      <c r="L146">
        <v>6.55</v>
      </c>
      <c r="M146">
        <v>12.9</v>
      </c>
      <c r="N146">
        <v>22.5</v>
      </c>
      <c r="O146">
        <v>17</v>
      </c>
      <c r="P146">
        <v>82.52</v>
      </c>
      <c r="Q146">
        <v>0.48</v>
      </c>
    </row>
    <row r="147" spans="1:17">
      <c r="A147">
        <v>211.1</v>
      </c>
      <c r="B147">
        <v>207</v>
      </c>
      <c r="C147">
        <v>82</v>
      </c>
      <c r="D147">
        <v>65</v>
      </c>
      <c r="E147" t="s">
        <v>66</v>
      </c>
      <c r="F147" t="b">
        <v>0</v>
      </c>
      <c r="G147" t="b">
        <v>0</v>
      </c>
      <c r="H147">
        <v>1.1000000000000001</v>
      </c>
      <c r="I147">
        <v>5.0599999999999996</v>
      </c>
      <c r="J147">
        <v>0.83099999999999996</v>
      </c>
      <c r="K147">
        <v>3.17</v>
      </c>
      <c r="L147">
        <v>6.55</v>
      </c>
      <c r="M147">
        <v>12.9</v>
      </c>
      <c r="N147">
        <v>22.5</v>
      </c>
      <c r="O147">
        <v>17</v>
      </c>
      <c r="P147">
        <v>82.52</v>
      </c>
      <c r="Q147">
        <v>0.48</v>
      </c>
    </row>
    <row r="148" spans="1:17">
      <c r="A148">
        <v>212.6</v>
      </c>
      <c r="B148">
        <v>208.5</v>
      </c>
      <c r="C148">
        <v>83</v>
      </c>
      <c r="D148">
        <v>66</v>
      </c>
      <c r="E148" t="s">
        <v>66</v>
      </c>
      <c r="F148" t="b">
        <v>0</v>
      </c>
      <c r="G148" t="b">
        <v>0</v>
      </c>
      <c r="H148">
        <v>1.6</v>
      </c>
      <c r="I148">
        <v>5.0599999999999996</v>
      </c>
      <c r="J148">
        <v>0.83099999999999996</v>
      </c>
      <c r="K148">
        <v>3.17</v>
      </c>
      <c r="L148">
        <v>6.55</v>
      </c>
      <c r="M148">
        <v>12.9</v>
      </c>
      <c r="N148">
        <v>22.5</v>
      </c>
      <c r="O148">
        <v>17</v>
      </c>
      <c r="P148">
        <v>82.52</v>
      </c>
      <c r="Q148">
        <v>0.48</v>
      </c>
    </row>
    <row r="149" spans="1:17">
      <c r="A149">
        <v>214.1</v>
      </c>
      <c r="B149">
        <v>210</v>
      </c>
      <c r="C149">
        <v>84</v>
      </c>
      <c r="D149">
        <v>67</v>
      </c>
      <c r="E149" t="s">
        <v>66</v>
      </c>
      <c r="F149" t="b">
        <v>0</v>
      </c>
      <c r="G149" t="b">
        <v>0</v>
      </c>
      <c r="H149">
        <v>1.5</v>
      </c>
      <c r="I149">
        <v>5.0599999999999996</v>
      </c>
      <c r="J149">
        <v>0.83099999999999996</v>
      </c>
      <c r="K149">
        <v>3.17</v>
      </c>
      <c r="L149">
        <v>6.55</v>
      </c>
      <c r="M149">
        <v>12.9</v>
      </c>
      <c r="N149">
        <v>22.5</v>
      </c>
      <c r="O149">
        <v>17</v>
      </c>
      <c r="P149">
        <v>82.52</v>
      </c>
      <c r="Q149">
        <v>0.48</v>
      </c>
    </row>
    <row r="150" spans="1:17">
      <c r="A150">
        <v>215.6</v>
      </c>
      <c r="B150">
        <v>211.5</v>
      </c>
      <c r="C150">
        <v>85</v>
      </c>
      <c r="D150">
        <v>68</v>
      </c>
      <c r="E150" t="s">
        <v>66</v>
      </c>
      <c r="F150" t="b">
        <v>0</v>
      </c>
      <c r="G150" t="b">
        <v>0</v>
      </c>
      <c r="H150">
        <v>1.5</v>
      </c>
      <c r="I150">
        <v>5.0599999999999996</v>
      </c>
      <c r="J150">
        <v>0.83099999999999996</v>
      </c>
      <c r="K150">
        <v>3.17</v>
      </c>
      <c r="L150">
        <v>6.55</v>
      </c>
      <c r="M150">
        <v>12.9</v>
      </c>
      <c r="N150">
        <v>22.5</v>
      </c>
      <c r="O150">
        <v>17</v>
      </c>
      <c r="P150">
        <v>82.52</v>
      </c>
      <c r="Q150">
        <v>0.48</v>
      </c>
    </row>
    <row r="151" spans="1:17">
      <c r="A151">
        <v>217.2</v>
      </c>
      <c r="B151">
        <v>213.1</v>
      </c>
      <c r="C151">
        <v>86</v>
      </c>
      <c r="D151">
        <v>69</v>
      </c>
      <c r="E151" t="s">
        <v>66</v>
      </c>
      <c r="F151" t="b">
        <v>0</v>
      </c>
      <c r="G151" t="b">
        <v>0</v>
      </c>
      <c r="H151">
        <v>1.7</v>
      </c>
      <c r="I151">
        <v>5.0599999999999996</v>
      </c>
      <c r="J151">
        <v>0.83099999999999996</v>
      </c>
      <c r="K151">
        <v>3.17</v>
      </c>
      <c r="L151">
        <v>6.55</v>
      </c>
      <c r="M151">
        <v>12.9</v>
      </c>
      <c r="N151">
        <v>22.5</v>
      </c>
      <c r="O151">
        <v>17</v>
      </c>
      <c r="P151">
        <v>82.52</v>
      </c>
      <c r="Q151">
        <v>0.48</v>
      </c>
    </row>
    <row r="152" spans="1:17">
      <c r="A152">
        <v>218.9</v>
      </c>
      <c r="B152">
        <v>214.8</v>
      </c>
      <c r="C152">
        <v>88</v>
      </c>
      <c r="D152">
        <v>70</v>
      </c>
      <c r="E152" t="s">
        <v>66</v>
      </c>
      <c r="F152" t="b">
        <v>0</v>
      </c>
      <c r="G152" t="b">
        <v>0</v>
      </c>
      <c r="H152">
        <v>1.7</v>
      </c>
      <c r="I152">
        <v>5.0599999999999996</v>
      </c>
      <c r="J152">
        <v>0.83099999999999996</v>
      </c>
      <c r="K152">
        <v>3.17</v>
      </c>
      <c r="L152">
        <v>6.55</v>
      </c>
      <c r="M152">
        <v>12.9</v>
      </c>
      <c r="N152">
        <v>22.5</v>
      </c>
      <c r="O152">
        <v>17</v>
      </c>
      <c r="P152">
        <v>82.52</v>
      </c>
      <c r="Q152">
        <v>0.48</v>
      </c>
    </row>
    <row r="153" spans="1:17">
      <c r="A153">
        <v>221.3</v>
      </c>
      <c r="B153">
        <v>217.2</v>
      </c>
      <c r="C153">
        <v>89</v>
      </c>
      <c r="D153">
        <v>71</v>
      </c>
      <c r="E153" t="s">
        <v>66</v>
      </c>
      <c r="F153" t="b">
        <v>0</v>
      </c>
      <c r="G153" t="b">
        <v>0</v>
      </c>
      <c r="H153">
        <v>2.4</v>
      </c>
      <c r="I153" t="s">
        <v>159</v>
      </c>
      <c r="J153" t="s">
        <v>159</v>
      </c>
      <c r="K153" t="s">
        <v>159</v>
      </c>
      <c r="L153" t="s">
        <v>159</v>
      </c>
      <c r="M153" t="s">
        <v>159</v>
      </c>
      <c r="N153" t="s">
        <v>159</v>
      </c>
      <c r="O153" t="s">
        <v>159</v>
      </c>
      <c r="P153" t="s">
        <v>159</v>
      </c>
      <c r="Q153" t="s">
        <v>159</v>
      </c>
    </row>
    <row r="154" spans="1:17">
      <c r="A154">
        <v>222.6</v>
      </c>
      <c r="B154">
        <v>218.5</v>
      </c>
      <c r="C154">
        <v>90</v>
      </c>
      <c r="D154">
        <v>72</v>
      </c>
      <c r="E154" t="s">
        <v>66</v>
      </c>
      <c r="F154" t="b">
        <v>0</v>
      </c>
      <c r="G154" t="b">
        <v>0</v>
      </c>
      <c r="H154">
        <v>1.4</v>
      </c>
      <c r="I154" t="s">
        <v>159</v>
      </c>
      <c r="J154" t="s">
        <v>159</v>
      </c>
      <c r="K154" t="s">
        <v>159</v>
      </c>
      <c r="L154" t="s">
        <v>159</v>
      </c>
      <c r="M154" t="s">
        <v>159</v>
      </c>
      <c r="N154" t="s">
        <v>159</v>
      </c>
      <c r="O154" t="s">
        <v>159</v>
      </c>
      <c r="P154" t="s">
        <v>159</v>
      </c>
      <c r="Q154" t="s">
        <v>159</v>
      </c>
    </row>
    <row r="155" spans="1:17">
      <c r="A155">
        <v>224.4</v>
      </c>
      <c r="B155">
        <v>220.3</v>
      </c>
      <c r="C155">
        <v>92</v>
      </c>
      <c r="D155">
        <v>73</v>
      </c>
      <c r="E155" t="s">
        <v>66</v>
      </c>
      <c r="F155" t="b">
        <v>0</v>
      </c>
      <c r="G155" t="b">
        <v>0</v>
      </c>
      <c r="H155">
        <v>1.7</v>
      </c>
      <c r="I155" t="s">
        <v>159</v>
      </c>
      <c r="J155" t="s">
        <v>159</v>
      </c>
      <c r="K155" t="s">
        <v>159</v>
      </c>
      <c r="L155" t="s">
        <v>159</v>
      </c>
      <c r="M155" t="s">
        <v>159</v>
      </c>
      <c r="N155" t="s">
        <v>159</v>
      </c>
      <c r="O155" t="s">
        <v>159</v>
      </c>
      <c r="P155" t="s">
        <v>159</v>
      </c>
      <c r="Q155" t="s">
        <v>159</v>
      </c>
    </row>
    <row r="156" spans="1:17">
      <c r="A156">
        <v>225.8</v>
      </c>
      <c r="B156">
        <v>221.7</v>
      </c>
      <c r="C156">
        <v>93</v>
      </c>
      <c r="D156">
        <v>74</v>
      </c>
      <c r="E156" t="s">
        <v>66</v>
      </c>
      <c r="F156" t="b">
        <v>0</v>
      </c>
      <c r="G156" t="b">
        <v>0</v>
      </c>
      <c r="H156">
        <v>1.4</v>
      </c>
      <c r="I156">
        <v>4.8650000000000002</v>
      </c>
      <c r="J156" t="s">
        <v>159</v>
      </c>
      <c r="K156" t="s">
        <v>159</v>
      </c>
      <c r="L156" t="s">
        <v>159</v>
      </c>
      <c r="M156" t="s">
        <v>159</v>
      </c>
      <c r="N156" t="s">
        <v>159</v>
      </c>
      <c r="O156" t="s">
        <v>159</v>
      </c>
      <c r="P156" t="s">
        <v>159</v>
      </c>
      <c r="Q156" t="s">
        <v>159</v>
      </c>
    </row>
    <row r="157" spans="1:17">
      <c r="A157">
        <v>227.6</v>
      </c>
      <c r="B157">
        <v>223.4</v>
      </c>
      <c r="C157">
        <v>94</v>
      </c>
      <c r="D157">
        <v>75</v>
      </c>
      <c r="E157" t="s">
        <v>66</v>
      </c>
      <c r="F157" t="b">
        <v>0</v>
      </c>
      <c r="G157" t="b">
        <v>0</v>
      </c>
      <c r="H157">
        <v>1.7</v>
      </c>
      <c r="I157">
        <v>4.8650000000000002</v>
      </c>
      <c r="J157" t="s">
        <v>159</v>
      </c>
      <c r="K157" t="s">
        <v>159</v>
      </c>
      <c r="L157" t="s">
        <v>159</v>
      </c>
      <c r="M157" t="s">
        <v>159</v>
      </c>
      <c r="N157" t="s">
        <v>159</v>
      </c>
      <c r="O157" t="s">
        <v>159</v>
      </c>
      <c r="P157" t="s">
        <v>159</v>
      </c>
      <c r="Q157" t="s">
        <v>159</v>
      </c>
    </row>
    <row r="158" spans="1:17">
      <c r="A158">
        <v>229.7</v>
      </c>
      <c r="B158">
        <v>225.6</v>
      </c>
      <c r="C158">
        <v>95</v>
      </c>
      <c r="D158">
        <v>76</v>
      </c>
      <c r="E158" t="s">
        <v>66</v>
      </c>
      <c r="F158" t="b">
        <v>0</v>
      </c>
      <c r="G158" t="b">
        <v>0</v>
      </c>
      <c r="H158">
        <v>2.1</v>
      </c>
      <c r="I158">
        <v>4.8650000000000002</v>
      </c>
      <c r="J158" t="s">
        <v>159</v>
      </c>
      <c r="K158" t="s">
        <v>159</v>
      </c>
      <c r="L158" t="s">
        <v>159</v>
      </c>
      <c r="M158" t="s">
        <v>159</v>
      </c>
      <c r="N158" t="s">
        <v>159</v>
      </c>
      <c r="O158" t="s">
        <v>159</v>
      </c>
      <c r="P158" t="s">
        <v>159</v>
      </c>
      <c r="Q158" t="s">
        <v>159</v>
      </c>
    </row>
    <row r="159" spans="1:17">
      <c r="A159">
        <v>230.8</v>
      </c>
      <c r="B159">
        <v>226.7</v>
      </c>
      <c r="C159">
        <v>96</v>
      </c>
      <c r="D159">
        <v>77</v>
      </c>
      <c r="E159" t="s">
        <v>66</v>
      </c>
      <c r="F159" t="b">
        <v>0</v>
      </c>
      <c r="G159" t="b">
        <v>0</v>
      </c>
      <c r="H159">
        <v>1.1000000000000001</v>
      </c>
      <c r="I159">
        <v>4.8650000000000002</v>
      </c>
      <c r="J159" t="s">
        <v>159</v>
      </c>
      <c r="K159" t="s">
        <v>159</v>
      </c>
      <c r="L159" t="s">
        <v>159</v>
      </c>
      <c r="M159" t="s">
        <v>159</v>
      </c>
      <c r="N159" t="s">
        <v>159</v>
      </c>
      <c r="O159" t="s">
        <v>159</v>
      </c>
      <c r="P159" t="s">
        <v>159</v>
      </c>
      <c r="Q159" t="s">
        <v>159</v>
      </c>
    </row>
    <row r="160" spans="1:17">
      <c r="A160">
        <v>232.3</v>
      </c>
      <c r="B160">
        <v>228.2</v>
      </c>
      <c r="C160">
        <v>97</v>
      </c>
      <c r="D160">
        <v>78</v>
      </c>
      <c r="E160" t="s">
        <v>66</v>
      </c>
      <c r="F160" t="b">
        <v>0</v>
      </c>
      <c r="G160" t="b">
        <v>0</v>
      </c>
      <c r="H160">
        <v>1.5</v>
      </c>
      <c r="I160">
        <v>4.8650000000000002</v>
      </c>
      <c r="J160" t="s">
        <v>159</v>
      </c>
      <c r="K160" t="s">
        <v>159</v>
      </c>
      <c r="L160" t="s">
        <v>159</v>
      </c>
      <c r="M160" t="s">
        <v>159</v>
      </c>
      <c r="N160" t="s">
        <v>159</v>
      </c>
      <c r="O160" t="s">
        <v>159</v>
      </c>
      <c r="P160" t="s">
        <v>159</v>
      </c>
      <c r="Q160" t="s">
        <v>159</v>
      </c>
    </row>
    <row r="161" spans="1:17">
      <c r="A161">
        <v>233.9</v>
      </c>
      <c r="B161">
        <v>229.8</v>
      </c>
      <c r="C161">
        <v>98</v>
      </c>
      <c r="D161">
        <v>79</v>
      </c>
      <c r="E161" t="s">
        <v>66</v>
      </c>
      <c r="F161" t="b">
        <v>0</v>
      </c>
      <c r="G161" t="b">
        <v>0</v>
      </c>
      <c r="H161">
        <v>1.6</v>
      </c>
      <c r="I161">
        <v>4.8650000000000002</v>
      </c>
      <c r="J161" t="s">
        <v>159</v>
      </c>
      <c r="K161" t="s">
        <v>159</v>
      </c>
      <c r="L161" t="s">
        <v>159</v>
      </c>
      <c r="M161" t="s">
        <v>159</v>
      </c>
      <c r="N161" t="s">
        <v>159</v>
      </c>
      <c r="O161" t="s">
        <v>159</v>
      </c>
      <c r="P161" t="s">
        <v>159</v>
      </c>
      <c r="Q161" t="s">
        <v>159</v>
      </c>
    </row>
    <row r="162" spans="1:17">
      <c r="A162">
        <v>236.2</v>
      </c>
      <c r="B162">
        <v>232.1</v>
      </c>
      <c r="C162">
        <v>100</v>
      </c>
      <c r="D162">
        <v>80</v>
      </c>
      <c r="E162" t="s">
        <v>66</v>
      </c>
      <c r="F162" t="b">
        <v>0</v>
      </c>
      <c r="G162" t="b">
        <v>0</v>
      </c>
      <c r="H162">
        <v>2.2999999999999998</v>
      </c>
      <c r="I162">
        <v>4.8650000000000002</v>
      </c>
      <c r="J162" t="s">
        <v>159</v>
      </c>
      <c r="K162" t="s">
        <v>159</v>
      </c>
      <c r="L162" t="s">
        <v>159</v>
      </c>
      <c r="M162" t="s">
        <v>159</v>
      </c>
      <c r="N162" t="s">
        <v>159</v>
      </c>
      <c r="O162" t="s">
        <v>159</v>
      </c>
      <c r="P162" t="s">
        <v>159</v>
      </c>
      <c r="Q162" t="s">
        <v>159</v>
      </c>
    </row>
    <row r="163" spans="1:17">
      <c r="A163">
        <v>237.8</v>
      </c>
      <c r="B163">
        <v>233.7</v>
      </c>
      <c r="C163">
        <v>101</v>
      </c>
      <c r="D163">
        <v>81</v>
      </c>
      <c r="E163" t="s">
        <v>66</v>
      </c>
      <c r="F163" t="b">
        <v>0</v>
      </c>
      <c r="G163" t="b">
        <v>0</v>
      </c>
      <c r="H163">
        <v>1.6</v>
      </c>
      <c r="I163">
        <v>4.8650000000000002</v>
      </c>
      <c r="J163" t="s">
        <v>159</v>
      </c>
      <c r="K163" t="s">
        <v>159</v>
      </c>
      <c r="L163" t="s">
        <v>159</v>
      </c>
      <c r="M163" t="s">
        <v>159</v>
      </c>
      <c r="N163" t="s">
        <v>159</v>
      </c>
      <c r="O163" t="s">
        <v>159</v>
      </c>
      <c r="P163" t="s">
        <v>159</v>
      </c>
      <c r="Q163" t="s">
        <v>159</v>
      </c>
    </row>
    <row r="164" spans="1:17">
      <c r="A164">
        <v>239</v>
      </c>
      <c r="B164">
        <v>234.9</v>
      </c>
      <c r="C164">
        <v>102</v>
      </c>
      <c r="D164">
        <v>82</v>
      </c>
      <c r="E164" t="s">
        <v>66</v>
      </c>
      <c r="F164" t="b">
        <v>0</v>
      </c>
      <c r="G164" t="b">
        <v>0</v>
      </c>
      <c r="H164">
        <v>1.1000000000000001</v>
      </c>
      <c r="I164">
        <v>4.8650000000000002</v>
      </c>
      <c r="J164" t="s">
        <v>159</v>
      </c>
      <c r="K164" t="s">
        <v>159</v>
      </c>
      <c r="L164" t="s">
        <v>159</v>
      </c>
      <c r="M164" t="s">
        <v>159</v>
      </c>
      <c r="N164" t="s">
        <v>159</v>
      </c>
      <c r="O164" t="s">
        <v>159</v>
      </c>
      <c r="P164" t="s">
        <v>159</v>
      </c>
      <c r="Q164" t="s">
        <v>159</v>
      </c>
    </row>
    <row r="165" spans="1:17">
      <c r="A165">
        <v>240.1</v>
      </c>
      <c r="B165">
        <v>235.9</v>
      </c>
      <c r="C165">
        <v>103</v>
      </c>
      <c r="D165">
        <v>83</v>
      </c>
      <c r="E165" t="s">
        <v>66</v>
      </c>
      <c r="F165" t="b">
        <v>0</v>
      </c>
      <c r="G165" t="b">
        <v>0</v>
      </c>
      <c r="H165">
        <v>1.1000000000000001</v>
      </c>
      <c r="I165">
        <v>4.8650000000000002</v>
      </c>
      <c r="J165" t="s">
        <v>159</v>
      </c>
      <c r="K165" t="s">
        <v>159</v>
      </c>
      <c r="L165" t="s">
        <v>159</v>
      </c>
      <c r="M165" t="s">
        <v>159</v>
      </c>
      <c r="N165" t="s">
        <v>159</v>
      </c>
      <c r="O165" t="s">
        <v>159</v>
      </c>
      <c r="P165" t="s">
        <v>159</v>
      </c>
      <c r="Q165" t="s">
        <v>159</v>
      </c>
    </row>
    <row r="166" spans="1:17">
      <c r="A166">
        <v>240.9</v>
      </c>
      <c r="B166">
        <v>236.8</v>
      </c>
      <c r="C166">
        <v>103</v>
      </c>
      <c r="D166">
        <v>84</v>
      </c>
      <c r="E166" t="s">
        <v>66</v>
      </c>
      <c r="F166" t="b">
        <v>0</v>
      </c>
      <c r="G166" t="b">
        <v>0</v>
      </c>
      <c r="H166">
        <v>0.9</v>
      </c>
      <c r="I166">
        <v>4.8650000000000002</v>
      </c>
      <c r="J166" t="s">
        <v>159</v>
      </c>
      <c r="K166" t="s">
        <v>159</v>
      </c>
      <c r="L166" t="s">
        <v>159</v>
      </c>
      <c r="M166" t="s">
        <v>159</v>
      </c>
      <c r="N166" t="s">
        <v>159</v>
      </c>
      <c r="O166" t="s">
        <v>159</v>
      </c>
      <c r="P166" t="s">
        <v>159</v>
      </c>
      <c r="Q166" t="s">
        <v>159</v>
      </c>
    </row>
    <row r="167" spans="1:17">
      <c r="A167">
        <v>242.1</v>
      </c>
      <c r="B167">
        <v>238</v>
      </c>
      <c r="C167">
        <v>104</v>
      </c>
      <c r="D167">
        <v>85</v>
      </c>
      <c r="E167" t="s">
        <v>66</v>
      </c>
      <c r="F167" t="b">
        <v>0</v>
      </c>
      <c r="G167" t="b">
        <v>0</v>
      </c>
      <c r="H167">
        <v>1.2</v>
      </c>
      <c r="I167">
        <v>4.8650000000000002</v>
      </c>
      <c r="J167" t="s">
        <v>159</v>
      </c>
      <c r="K167" t="s">
        <v>159</v>
      </c>
      <c r="L167" t="s">
        <v>159</v>
      </c>
      <c r="M167" t="s">
        <v>159</v>
      </c>
      <c r="N167" t="s">
        <v>159</v>
      </c>
      <c r="O167" t="s">
        <v>159</v>
      </c>
      <c r="P167" t="s">
        <v>159</v>
      </c>
      <c r="Q167" t="s">
        <v>159</v>
      </c>
    </row>
    <row r="168" spans="1:17">
      <c r="A168">
        <v>243.8</v>
      </c>
      <c r="B168">
        <v>239.7</v>
      </c>
      <c r="C168">
        <v>106</v>
      </c>
      <c r="D168">
        <v>86</v>
      </c>
      <c r="E168" t="s">
        <v>66</v>
      </c>
      <c r="F168" t="b">
        <v>0</v>
      </c>
      <c r="G168" t="b">
        <v>0</v>
      </c>
      <c r="H168">
        <v>1.7</v>
      </c>
      <c r="I168">
        <v>4.8650000000000002</v>
      </c>
      <c r="J168" t="s">
        <v>159</v>
      </c>
      <c r="K168" t="s">
        <v>159</v>
      </c>
      <c r="L168" t="s">
        <v>159</v>
      </c>
      <c r="M168" t="s">
        <v>159</v>
      </c>
      <c r="N168" t="s">
        <v>159</v>
      </c>
      <c r="O168" t="s">
        <v>159</v>
      </c>
      <c r="P168" t="s">
        <v>159</v>
      </c>
      <c r="Q168" t="s">
        <v>159</v>
      </c>
    </row>
    <row r="169" spans="1:17">
      <c r="A169">
        <v>245</v>
      </c>
      <c r="B169">
        <v>240.9</v>
      </c>
      <c r="C169">
        <v>106</v>
      </c>
      <c r="D169">
        <v>87</v>
      </c>
      <c r="E169" t="s">
        <v>66</v>
      </c>
      <c r="F169" t="b">
        <v>0</v>
      </c>
      <c r="G169" t="b">
        <v>0</v>
      </c>
      <c r="H169">
        <v>1.1000000000000001</v>
      </c>
      <c r="I169">
        <v>4.8650000000000002</v>
      </c>
      <c r="J169" t="s">
        <v>159</v>
      </c>
      <c r="K169" t="s">
        <v>159</v>
      </c>
      <c r="L169" t="s">
        <v>159</v>
      </c>
      <c r="M169" t="s">
        <v>159</v>
      </c>
      <c r="N169" t="s">
        <v>159</v>
      </c>
      <c r="O169" t="s">
        <v>159</v>
      </c>
      <c r="P169" t="s">
        <v>159</v>
      </c>
      <c r="Q169" t="s">
        <v>159</v>
      </c>
    </row>
    <row r="170" spans="1:17">
      <c r="A170">
        <v>246.5</v>
      </c>
      <c r="B170">
        <v>242.4</v>
      </c>
      <c r="C170">
        <v>107</v>
      </c>
      <c r="D170">
        <v>88</v>
      </c>
      <c r="E170" t="s">
        <v>66</v>
      </c>
      <c r="F170" t="b">
        <v>0</v>
      </c>
      <c r="G170" t="b">
        <v>0</v>
      </c>
      <c r="H170">
        <v>1.5</v>
      </c>
      <c r="I170" t="s">
        <v>159</v>
      </c>
      <c r="J170" t="s">
        <v>159</v>
      </c>
      <c r="K170" t="s">
        <v>159</v>
      </c>
      <c r="L170" t="s">
        <v>159</v>
      </c>
      <c r="M170" t="s">
        <v>159</v>
      </c>
      <c r="N170" t="s">
        <v>159</v>
      </c>
      <c r="O170" t="s">
        <v>159</v>
      </c>
      <c r="P170" t="s">
        <v>159</v>
      </c>
      <c r="Q170" t="s">
        <v>159</v>
      </c>
    </row>
    <row r="171" spans="1:17">
      <c r="A171">
        <v>248</v>
      </c>
      <c r="B171">
        <v>243.9</v>
      </c>
      <c r="C171">
        <v>109</v>
      </c>
      <c r="D171">
        <v>89</v>
      </c>
      <c r="E171" t="s">
        <v>66</v>
      </c>
      <c r="F171" t="b">
        <v>0</v>
      </c>
      <c r="G171" t="b">
        <v>0</v>
      </c>
      <c r="H171">
        <v>1.6</v>
      </c>
      <c r="I171" t="s">
        <v>159</v>
      </c>
      <c r="J171" t="s">
        <v>159</v>
      </c>
      <c r="K171" t="s">
        <v>159</v>
      </c>
      <c r="L171" t="s">
        <v>159</v>
      </c>
      <c r="M171" t="s">
        <v>159</v>
      </c>
      <c r="N171" t="s">
        <v>159</v>
      </c>
      <c r="O171" t="s">
        <v>159</v>
      </c>
      <c r="P171" t="s">
        <v>159</v>
      </c>
      <c r="Q171" t="s">
        <v>159</v>
      </c>
    </row>
    <row r="172" spans="1:17">
      <c r="A172">
        <v>249.6</v>
      </c>
      <c r="B172">
        <v>245.5</v>
      </c>
      <c r="C172">
        <v>110</v>
      </c>
      <c r="D172">
        <v>90</v>
      </c>
      <c r="E172" t="s">
        <v>66</v>
      </c>
      <c r="F172" t="b">
        <v>0</v>
      </c>
      <c r="G172" t="b">
        <v>0</v>
      </c>
      <c r="H172">
        <v>1.6</v>
      </c>
      <c r="I172">
        <v>5.3010000000000002</v>
      </c>
      <c r="J172" t="s">
        <v>159</v>
      </c>
      <c r="K172" t="s">
        <v>159</v>
      </c>
      <c r="L172" t="s">
        <v>159</v>
      </c>
      <c r="M172" t="s">
        <v>159</v>
      </c>
      <c r="N172" t="s">
        <v>159</v>
      </c>
      <c r="O172" t="s">
        <v>159</v>
      </c>
      <c r="P172" t="s">
        <v>159</v>
      </c>
      <c r="Q172" t="s">
        <v>159</v>
      </c>
    </row>
    <row r="173" spans="1:17">
      <c r="A173">
        <v>250.8</v>
      </c>
      <c r="B173">
        <v>246.7</v>
      </c>
      <c r="C173">
        <v>111</v>
      </c>
      <c r="D173">
        <v>91</v>
      </c>
      <c r="E173" t="s">
        <v>66</v>
      </c>
      <c r="F173" t="b">
        <v>0</v>
      </c>
      <c r="G173" t="b">
        <v>0</v>
      </c>
      <c r="H173">
        <v>1.1000000000000001</v>
      </c>
      <c r="I173">
        <v>5.3010000000000002</v>
      </c>
      <c r="J173" t="s">
        <v>159</v>
      </c>
      <c r="K173" t="s">
        <v>159</v>
      </c>
      <c r="L173" t="s">
        <v>159</v>
      </c>
      <c r="M173" t="s">
        <v>159</v>
      </c>
      <c r="N173" t="s">
        <v>159</v>
      </c>
      <c r="O173" t="s">
        <v>159</v>
      </c>
      <c r="P173" t="s">
        <v>159</v>
      </c>
      <c r="Q173" t="s">
        <v>159</v>
      </c>
    </row>
    <row r="174" spans="1:17">
      <c r="A174">
        <v>252.6</v>
      </c>
      <c r="B174">
        <v>248.5</v>
      </c>
      <c r="C174">
        <v>112</v>
      </c>
      <c r="D174">
        <v>92</v>
      </c>
      <c r="E174" t="s">
        <v>66</v>
      </c>
      <c r="F174" t="b">
        <v>0</v>
      </c>
      <c r="G174" t="b">
        <v>0</v>
      </c>
      <c r="H174">
        <v>1.8</v>
      </c>
      <c r="I174">
        <v>5.3010000000000002</v>
      </c>
      <c r="J174" t="s">
        <v>159</v>
      </c>
      <c r="K174" t="s">
        <v>159</v>
      </c>
      <c r="L174" t="s">
        <v>159</v>
      </c>
      <c r="M174" t="s">
        <v>159</v>
      </c>
      <c r="N174" t="s">
        <v>159</v>
      </c>
      <c r="O174" t="s">
        <v>159</v>
      </c>
      <c r="P174" t="s">
        <v>159</v>
      </c>
      <c r="Q174" t="s">
        <v>159</v>
      </c>
    </row>
    <row r="175" spans="1:17">
      <c r="A175">
        <v>254.3</v>
      </c>
      <c r="B175">
        <v>250.2</v>
      </c>
      <c r="C175">
        <v>113</v>
      </c>
      <c r="D175">
        <v>93</v>
      </c>
      <c r="E175" t="s">
        <v>66</v>
      </c>
      <c r="F175" t="b">
        <v>0</v>
      </c>
      <c r="G175" t="b">
        <v>0</v>
      </c>
      <c r="H175">
        <v>1.7</v>
      </c>
      <c r="I175">
        <v>5.3010000000000002</v>
      </c>
      <c r="J175" t="s">
        <v>159</v>
      </c>
      <c r="K175" t="s">
        <v>159</v>
      </c>
      <c r="L175" t="s">
        <v>159</v>
      </c>
      <c r="M175" t="s">
        <v>159</v>
      </c>
      <c r="N175" t="s">
        <v>159</v>
      </c>
      <c r="O175" t="s">
        <v>159</v>
      </c>
      <c r="P175" t="s">
        <v>159</v>
      </c>
      <c r="Q175" t="s">
        <v>159</v>
      </c>
    </row>
    <row r="176" spans="1:17">
      <c r="A176">
        <v>255.7</v>
      </c>
      <c r="B176">
        <v>251.6</v>
      </c>
      <c r="C176">
        <v>114</v>
      </c>
      <c r="D176">
        <v>94</v>
      </c>
      <c r="E176" t="s">
        <v>66</v>
      </c>
      <c r="F176" t="b">
        <v>0</v>
      </c>
      <c r="G176" t="b">
        <v>0</v>
      </c>
      <c r="H176">
        <v>1.4</v>
      </c>
      <c r="I176">
        <v>5.3010000000000002</v>
      </c>
      <c r="J176" t="s">
        <v>159</v>
      </c>
      <c r="K176" t="s">
        <v>159</v>
      </c>
      <c r="L176" t="s">
        <v>159</v>
      </c>
      <c r="M176" t="s">
        <v>159</v>
      </c>
      <c r="N176" t="s">
        <v>159</v>
      </c>
      <c r="O176" t="s">
        <v>159</v>
      </c>
      <c r="P176" t="s">
        <v>159</v>
      </c>
      <c r="Q176" t="s">
        <v>159</v>
      </c>
    </row>
    <row r="177" spans="1:17">
      <c r="A177">
        <v>256.8</v>
      </c>
      <c r="B177">
        <v>252.7</v>
      </c>
      <c r="C177">
        <v>115</v>
      </c>
      <c r="D177">
        <v>95</v>
      </c>
      <c r="E177" t="s">
        <v>66</v>
      </c>
      <c r="F177" t="b">
        <v>0</v>
      </c>
      <c r="G177" t="b">
        <v>0</v>
      </c>
      <c r="H177">
        <v>1.1000000000000001</v>
      </c>
      <c r="I177">
        <v>5.3010000000000002</v>
      </c>
      <c r="J177" t="s">
        <v>159</v>
      </c>
      <c r="K177" t="s">
        <v>159</v>
      </c>
      <c r="L177" t="s">
        <v>159</v>
      </c>
      <c r="M177" t="s">
        <v>159</v>
      </c>
      <c r="N177" t="s">
        <v>159</v>
      </c>
      <c r="O177" t="s">
        <v>159</v>
      </c>
      <c r="P177" t="s">
        <v>159</v>
      </c>
      <c r="Q177" t="s">
        <v>159</v>
      </c>
    </row>
    <row r="178" spans="1:17">
      <c r="A178">
        <v>258.2</v>
      </c>
      <c r="B178">
        <v>254.1</v>
      </c>
      <c r="C178">
        <v>116</v>
      </c>
      <c r="D178">
        <v>96</v>
      </c>
      <c r="E178" t="s">
        <v>66</v>
      </c>
      <c r="F178" t="b">
        <v>0</v>
      </c>
      <c r="G178" t="b">
        <v>0</v>
      </c>
      <c r="H178">
        <v>1.4</v>
      </c>
      <c r="I178">
        <v>5.3010000000000002</v>
      </c>
      <c r="J178" t="s">
        <v>159</v>
      </c>
      <c r="K178" t="s">
        <v>159</v>
      </c>
      <c r="L178" t="s">
        <v>159</v>
      </c>
      <c r="M178" t="s">
        <v>159</v>
      </c>
      <c r="N178" t="s">
        <v>159</v>
      </c>
      <c r="O178" t="s">
        <v>159</v>
      </c>
      <c r="P178" t="s">
        <v>159</v>
      </c>
      <c r="Q178" t="s">
        <v>159</v>
      </c>
    </row>
    <row r="179" spans="1:17">
      <c r="A179">
        <v>260.10000000000002</v>
      </c>
      <c r="B179">
        <v>256</v>
      </c>
      <c r="C179">
        <v>117</v>
      </c>
      <c r="D179">
        <v>97</v>
      </c>
      <c r="E179" t="s">
        <v>66</v>
      </c>
      <c r="F179" t="b">
        <v>0</v>
      </c>
      <c r="G179" t="b">
        <v>0</v>
      </c>
      <c r="H179">
        <v>1.9</v>
      </c>
      <c r="I179">
        <v>5.3010000000000002</v>
      </c>
      <c r="J179" t="s">
        <v>159</v>
      </c>
      <c r="K179" t="s">
        <v>159</v>
      </c>
      <c r="L179" t="s">
        <v>159</v>
      </c>
      <c r="M179" t="s">
        <v>159</v>
      </c>
      <c r="N179" t="s">
        <v>159</v>
      </c>
      <c r="O179" t="s">
        <v>159</v>
      </c>
      <c r="P179" t="s">
        <v>159</v>
      </c>
      <c r="Q179" t="s">
        <v>159</v>
      </c>
    </row>
    <row r="180" spans="1:17">
      <c r="A180">
        <v>261.39999999999998</v>
      </c>
      <c r="B180">
        <v>257.3</v>
      </c>
      <c r="C180">
        <v>118</v>
      </c>
      <c r="D180">
        <v>98</v>
      </c>
      <c r="E180" t="s">
        <v>66</v>
      </c>
      <c r="F180" t="b">
        <v>0</v>
      </c>
      <c r="G180" t="b">
        <v>0</v>
      </c>
      <c r="H180">
        <v>1.3</v>
      </c>
      <c r="I180">
        <v>5.3010000000000002</v>
      </c>
      <c r="J180" t="s">
        <v>159</v>
      </c>
      <c r="K180" t="s">
        <v>159</v>
      </c>
      <c r="L180" t="s">
        <v>159</v>
      </c>
      <c r="M180" t="s">
        <v>159</v>
      </c>
      <c r="N180" t="s">
        <v>159</v>
      </c>
      <c r="O180" t="s">
        <v>159</v>
      </c>
      <c r="P180" t="s">
        <v>159</v>
      </c>
      <c r="Q180" t="s">
        <v>159</v>
      </c>
    </row>
    <row r="181" spans="1:17">
      <c r="A181">
        <v>263.3</v>
      </c>
      <c r="B181">
        <v>259.2</v>
      </c>
      <c r="C181">
        <v>120</v>
      </c>
      <c r="D181">
        <v>99</v>
      </c>
      <c r="E181" t="s">
        <v>66</v>
      </c>
      <c r="F181" t="b">
        <v>0</v>
      </c>
      <c r="G181" t="b">
        <v>0</v>
      </c>
      <c r="H181">
        <v>1.9</v>
      </c>
      <c r="I181">
        <v>5.3010000000000002</v>
      </c>
      <c r="J181" t="s">
        <v>159</v>
      </c>
      <c r="K181" t="s">
        <v>159</v>
      </c>
      <c r="L181" t="s">
        <v>159</v>
      </c>
      <c r="M181" t="s">
        <v>159</v>
      </c>
      <c r="N181" t="s">
        <v>159</v>
      </c>
      <c r="O181" t="s">
        <v>159</v>
      </c>
      <c r="P181" t="s">
        <v>159</v>
      </c>
      <c r="Q181" t="s">
        <v>159</v>
      </c>
    </row>
    <row r="182" spans="1:17">
      <c r="A182">
        <v>264.2</v>
      </c>
      <c r="B182">
        <v>260.10000000000002</v>
      </c>
      <c r="C182">
        <v>120</v>
      </c>
      <c r="D182">
        <v>100</v>
      </c>
      <c r="E182" t="s">
        <v>66</v>
      </c>
      <c r="F182" t="b">
        <v>0</v>
      </c>
      <c r="G182" t="b">
        <v>0</v>
      </c>
      <c r="H182">
        <v>0.9</v>
      </c>
      <c r="I182">
        <v>5.3010000000000002</v>
      </c>
      <c r="J182" t="s">
        <v>159</v>
      </c>
      <c r="K182" t="s">
        <v>159</v>
      </c>
      <c r="L182" t="s">
        <v>159</v>
      </c>
      <c r="M182" t="s">
        <v>159</v>
      </c>
      <c r="N182" t="s">
        <v>159</v>
      </c>
      <c r="O182" t="s">
        <v>159</v>
      </c>
      <c r="P182" t="s">
        <v>159</v>
      </c>
      <c r="Q182" t="s">
        <v>159</v>
      </c>
    </row>
    <row r="183" spans="1:17">
      <c r="A183">
        <v>266</v>
      </c>
      <c r="B183">
        <v>261.89999999999998</v>
      </c>
      <c r="C183">
        <v>122</v>
      </c>
      <c r="D183">
        <v>101</v>
      </c>
      <c r="E183" t="s">
        <v>66</v>
      </c>
      <c r="F183" t="b">
        <v>0</v>
      </c>
      <c r="G183" t="b">
        <v>0</v>
      </c>
      <c r="H183">
        <v>1.8</v>
      </c>
      <c r="I183">
        <v>5.3010000000000002</v>
      </c>
      <c r="J183" t="s">
        <v>159</v>
      </c>
      <c r="K183" t="s">
        <v>159</v>
      </c>
      <c r="L183" t="s">
        <v>159</v>
      </c>
      <c r="M183" t="s">
        <v>159</v>
      </c>
      <c r="N183" t="s">
        <v>159</v>
      </c>
      <c r="O183" t="s">
        <v>159</v>
      </c>
      <c r="P183" t="s">
        <v>159</v>
      </c>
      <c r="Q183" t="s">
        <v>159</v>
      </c>
    </row>
    <row r="184" spans="1:17">
      <c r="A184">
        <v>267.3</v>
      </c>
      <c r="B184">
        <v>263.2</v>
      </c>
      <c r="C184">
        <v>122</v>
      </c>
      <c r="D184">
        <v>102</v>
      </c>
      <c r="E184" t="s">
        <v>66</v>
      </c>
      <c r="F184" t="b">
        <v>0</v>
      </c>
      <c r="G184" t="b">
        <v>0</v>
      </c>
      <c r="H184">
        <v>1.3</v>
      </c>
      <c r="I184">
        <v>5.3010000000000002</v>
      </c>
      <c r="J184" t="s">
        <v>159</v>
      </c>
      <c r="K184" t="s">
        <v>159</v>
      </c>
      <c r="L184" t="s">
        <v>159</v>
      </c>
      <c r="M184" t="s">
        <v>159</v>
      </c>
      <c r="N184" t="s">
        <v>159</v>
      </c>
      <c r="O184" t="s">
        <v>159</v>
      </c>
      <c r="P184" t="s">
        <v>159</v>
      </c>
      <c r="Q184" t="s">
        <v>159</v>
      </c>
    </row>
    <row r="185" spans="1:17">
      <c r="A185">
        <v>268.60000000000002</v>
      </c>
      <c r="B185">
        <v>264.5</v>
      </c>
      <c r="C185">
        <v>123</v>
      </c>
      <c r="D185">
        <v>103</v>
      </c>
      <c r="E185" t="s">
        <v>66</v>
      </c>
      <c r="F185" t="b">
        <v>0</v>
      </c>
      <c r="G185" t="b">
        <v>0</v>
      </c>
      <c r="H185">
        <v>1.3</v>
      </c>
      <c r="I185">
        <v>5.3010000000000002</v>
      </c>
      <c r="J185" t="s">
        <v>159</v>
      </c>
      <c r="K185" t="s">
        <v>159</v>
      </c>
      <c r="L185" t="s">
        <v>159</v>
      </c>
      <c r="M185" t="s">
        <v>159</v>
      </c>
      <c r="N185" t="s">
        <v>159</v>
      </c>
      <c r="O185" t="s">
        <v>159</v>
      </c>
      <c r="P185" t="s">
        <v>159</v>
      </c>
      <c r="Q185" t="s">
        <v>159</v>
      </c>
    </row>
    <row r="186" spans="1:17">
      <c r="A186">
        <v>269.8</v>
      </c>
      <c r="B186">
        <v>265.7</v>
      </c>
      <c r="C186">
        <v>124</v>
      </c>
      <c r="D186">
        <v>104</v>
      </c>
      <c r="E186" t="s">
        <v>66</v>
      </c>
      <c r="F186" t="b">
        <v>0</v>
      </c>
      <c r="G186" t="b">
        <v>0</v>
      </c>
      <c r="H186">
        <v>1.1000000000000001</v>
      </c>
      <c r="I186">
        <v>5.3010000000000002</v>
      </c>
      <c r="J186" t="s">
        <v>159</v>
      </c>
      <c r="K186" t="s">
        <v>159</v>
      </c>
      <c r="L186" t="s">
        <v>159</v>
      </c>
      <c r="M186" t="s">
        <v>159</v>
      </c>
      <c r="N186" t="s">
        <v>159</v>
      </c>
      <c r="O186" t="s">
        <v>159</v>
      </c>
      <c r="P186" t="s">
        <v>159</v>
      </c>
      <c r="Q186" t="s">
        <v>159</v>
      </c>
    </row>
    <row r="187" spans="1:17">
      <c r="A187">
        <v>271.3</v>
      </c>
      <c r="B187">
        <v>267.2</v>
      </c>
      <c r="C187">
        <v>125</v>
      </c>
      <c r="D187">
        <v>105</v>
      </c>
      <c r="E187" t="s">
        <v>66</v>
      </c>
      <c r="F187" t="b">
        <v>0</v>
      </c>
      <c r="G187" t="b">
        <v>0</v>
      </c>
      <c r="H187">
        <v>1.5</v>
      </c>
      <c r="I187" t="s">
        <v>159</v>
      </c>
      <c r="J187" t="s">
        <v>159</v>
      </c>
      <c r="K187" t="s">
        <v>159</v>
      </c>
      <c r="L187" t="s">
        <v>159</v>
      </c>
      <c r="M187" t="s">
        <v>159</v>
      </c>
      <c r="N187" t="s">
        <v>159</v>
      </c>
      <c r="O187" t="s">
        <v>159</v>
      </c>
      <c r="P187" t="s">
        <v>159</v>
      </c>
      <c r="Q187" t="s">
        <v>159</v>
      </c>
    </row>
    <row r="188" spans="1:17">
      <c r="A188">
        <v>272.10000000000002</v>
      </c>
      <c r="B188">
        <v>268</v>
      </c>
      <c r="C188">
        <v>126</v>
      </c>
      <c r="D188">
        <v>106</v>
      </c>
      <c r="E188" t="s">
        <v>66</v>
      </c>
      <c r="F188" t="b">
        <v>0</v>
      </c>
      <c r="G188" t="b">
        <v>0</v>
      </c>
      <c r="H188">
        <v>0.8</v>
      </c>
      <c r="I188" t="s">
        <v>159</v>
      </c>
      <c r="J188" t="s">
        <v>159</v>
      </c>
      <c r="K188" t="s">
        <v>159</v>
      </c>
      <c r="L188" t="s">
        <v>159</v>
      </c>
      <c r="M188" t="s">
        <v>159</v>
      </c>
      <c r="N188" t="s">
        <v>159</v>
      </c>
      <c r="O188" t="s">
        <v>159</v>
      </c>
      <c r="P188" t="s">
        <v>159</v>
      </c>
      <c r="Q188" t="s">
        <v>159</v>
      </c>
    </row>
    <row r="189" spans="1:17">
      <c r="A189">
        <v>273.39999999999998</v>
      </c>
      <c r="B189">
        <v>269.3</v>
      </c>
      <c r="C189">
        <v>127</v>
      </c>
      <c r="D189">
        <v>107</v>
      </c>
      <c r="E189" t="s">
        <v>66</v>
      </c>
      <c r="F189" t="b">
        <v>0</v>
      </c>
      <c r="G189" t="b">
        <v>0</v>
      </c>
      <c r="H189">
        <v>1.4</v>
      </c>
      <c r="I189" t="s">
        <v>159</v>
      </c>
      <c r="J189" t="s">
        <v>159</v>
      </c>
      <c r="K189" t="s">
        <v>159</v>
      </c>
      <c r="L189" t="s">
        <v>159</v>
      </c>
      <c r="M189" t="s">
        <v>159</v>
      </c>
      <c r="N189" t="s">
        <v>159</v>
      </c>
      <c r="O189" t="s">
        <v>159</v>
      </c>
      <c r="P189" t="s">
        <v>159</v>
      </c>
      <c r="Q189" t="s">
        <v>159</v>
      </c>
    </row>
    <row r="190" spans="1:17">
      <c r="A190">
        <v>275.7</v>
      </c>
      <c r="B190">
        <v>271.60000000000002</v>
      </c>
      <c r="C190">
        <v>128</v>
      </c>
      <c r="D190">
        <v>108</v>
      </c>
      <c r="E190" t="s">
        <v>66</v>
      </c>
      <c r="F190" t="b">
        <v>0</v>
      </c>
      <c r="G190" t="b">
        <v>0</v>
      </c>
      <c r="H190">
        <v>2.2999999999999998</v>
      </c>
      <c r="I190">
        <v>4.7839999999999998</v>
      </c>
      <c r="J190" t="s">
        <v>159</v>
      </c>
      <c r="K190" t="s">
        <v>159</v>
      </c>
      <c r="L190" t="s">
        <v>159</v>
      </c>
      <c r="M190" t="s">
        <v>159</v>
      </c>
      <c r="N190" t="s">
        <v>159</v>
      </c>
      <c r="O190" t="s">
        <v>159</v>
      </c>
      <c r="P190" t="s">
        <v>159</v>
      </c>
      <c r="Q190" t="s">
        <v>159</v>
      </c>
    </row>
    <row r="191" spans="1:17">
      <c r="A191">
        <v>276.60000000000002</v>
      </c>
      <c r="B191">
        <v>272.5</v>
      </c>
      <c r="C191">
        <v>129</v>
      </c>
      <c r="D191">
        <v>109</v>
      </c>
      <c r="E191" t="s">
        <v>66</v>
      </c>
      <c r="F191" t="b">
        <v>0</v>
      </c>
      <c r="G191" t="b">
        <v>0</v>
      </c>
      <c r="H191">
        <v>0.9</v>
      </c>
      <c r="I191">
        <v>4.7839999999999998</v>
      </c>
      <c r="J191" t="s">
        <v>159</v>
      </c>
      <c r="K191" t="s">
        <v>159</v>
      </c>
      <c r="L191" t="s">
        <v>159</v>
      </c>
      <c r="M191" t="s">
        <v>159</v>
      </c>
      <c r="N191" t="s">
        <v>159</v>
      </c>
      <c r="O191" t="s">
        <v>159</v>
      </c>
      <c r="P191" t="s">
        <v>159</v>
      </c>
      <c r="Q191" t="s">
        <v>159</v>
      </c>
    </row>
    <row r="192" spans="1:17">
      <c r="A192">
        <v>277.89999999999998</v>
      </c>
      <c r="B192">
        <v>273.8</v>
      </c>
      <c r="C192">
        <v>130</v>
      </c>
      <c r="D192">
        <v>110</v>
      </c>
      <c r="E192" t="s">
        <v>66</v>
      </c>
      <c r="F192" t="b">
        <v>0</v>
      </c>
      <c r="G192" t="b">
        <v>0</v>
      </c>
      <c r="H192">
        <v>1.3</v>
      </c>
      <c r="I192">
        <v>4.7839999999999998</v>
      </c>
      <c r="J192" t="s">
        <v>159</v>
      </c>
      <c r="K192" t="s">
        <v>159</v>
      </c>
      <c r="L192" t="s">
        <v>159</v>
      </c>
      <c r="M192" t="s">
        <v>159</v>
      </c>
      <c r="N192" t="s">
        <v>159</v>
      </c>
      <c r="O192" t="s">
        <v>159</v>
      </c>
      <c r="P192" t="s">
        <v>159</v>
      </c>
      <c r="Q192" t="s">
        <v>159</v>
      </c>
    </row>
    <row r="193" spans="1:17">
      <c r="A193">
        <v>279.10000000000002</v>
      </c>
      <c r="B193">
        <v>275</v>
      </c>
      <c r="C193">
        <v>131</v>
      </c>
      <c r="D193">
        <v>111</v>
      </c>
      <c r="E193" t="s">
        <v>66</v>
      </c>
      <c r="F193" t="b">
        <v>0</v>
      </c>
      <c r="G193" t="b">
        <v>0</v>
      </c>
      <c r="H193">
        <v>1.3</v>
      </c>
      <c r="I193">
        <v>4.7839999999999998</v>
      </c>
      <c r="J193" t="s">
        <v>159</v>
      </c>
      <c r="K193" t="s">
        <v>159</v>
      </c>
      <c r="L193" t="s">
        <v>159</v>
      </c>
      <c r="M193" t="s">
        <v>159</v>
      </c>
      <c r="N193" t="s">
        <v>159</v>
      </c>
      <c r="O193" t="s">
        <v>159</v>
      </c>
      <c r="P193" t="s">
        <v>159</v>
      </c>
      <c r="Q193" t="s">
        <v>159</v>
      </c>
    </row>
    <row r="194" spans="1:17">
      <c r="A194">
        <v>280.5</v>
      </c>
      <c r="B194">
        <v>276.39999999999998</v>
      </c>
      <c r="C194">
        <v>132</v>
      </c>
      <c r="D194">
        <v>112</v>
      </c>
      <c r="E194" t="s">
        <v>66</v>
      </c>
      <c r="F194" t="b">
        <v>0</v>
      </c>
      <c r="G194" t="b">
        <v>0</v>
      </c>
      <c r="H194">
        <v>1.4</v>
      </c>
      <c r="I194">
        <v>4.7839999999999998</v>
      </c>
      <c r="J194" t="s">
        <v>159</v>
      </c>
      <c r="K194" t="s">
        <v>159</v>
      </c>
      <c r="L194" t="s">
        <v>159</v>
      </c>
      <c r="M194" t="s">
        <v>159</v>
      </c>
      <c r="N194" t="s">
        <v>159</v>
      </c>
      <c r="O194" t="s">
        <v>159</v>
      </c>
      <c r="P194" t="s">
        <v>159</v>
      </c>
      <c r="Q194" t="s">
        <v>159</v>
      </c>
    </row>
    <row r="195" spans="1:17">
      <c r="A195">
        <v>282.39999999999998</v>
      </c>
      <c r="B195">
        <v>278.3</v>
      </c>
      <c r="C195">
        <v>133</v>
      </c>
      <c r="D195">
        <v>113</v>
      </c>
      <c r="E195" t="s">
        <v>66</v>
      </c>
      <c r="F195" t="b">
        <v>0</v>
      </c>
      <c r="G195" t="b">
        <v>0</v>
      </c>
      <c r="H195">
        <v>1.8</v>
      </c>
      <c r="I195">
        <v>4.7839999999999998</v>
      </c>
      <c r="J195" t="s">
        <v>159</v>
      </c>
      <c r="K195" t="s">
        <v>159</v>
      </c>
      <c r="L195" t="s">
        <v>159</v>
      </c>
      <c r="M195" t="s">
        <v>159</v>
      </c>
      <c r="N195" t="s">
        <v>159</v>
      </c>
      <c r="O195" t="s">
        <v>159</v>
      </c>
      <c r="P195" t="s">
        <v>159</v>
      </c>
      <c r="Q195" t="s">
        <v>159</v>
      </c>
    </row>
    <row r="196" spans="1:17">
      <c r="A196">
        <v>283.39999999999998</v>
      </c>
      <c r="B196">
        <v>279.3</v>
      </c>
      <c r="C196">
        <v>134</v>
      </c>
      <c r="D196">
        <v>114</v>
      </c>
      <c r="E196" t="s">
        <v>66</v>
      </c>
      <c r="F196" t="b">
        <v>0</v>
      </c>
      <c r="G196" t="b">
        <v>0</v>
      </c>
      <c r="H196">
        <v>1.1000000000000001</v>
      </c>
      <c r="I196">
        <v>4.7839999999999998</v>
      </c>
      <c r="J196" t="s">
        <v>159</v>
      </c>
      <c r="K196" t="s">
        <v>159</v>
      </c>
      <c r="L196" t="s">
        <v>159</v>
      </c>
      <c r="M196" t="s">
        <v>159</v>
      </c>
      <c r="N196" t="s">
        <v>159</v>
      </c>
      <c r="O196" t="s">
        <v>159</v>
      </c>
      <c r="P196" t="s">
        <v>159</v>
      </c>
      <c r="Q196" t="s">
        <v>159</v>
      </c>
    </row>
    <row r="197" spans="1:17">
      <c r="A197">
        <v>284.39999999999998</v>
      </c>
      <c r="B197">
        <v>280.3</v>
      </c>
      <c r="C197">
        <v>135</v>
      </c>
      <c r="D197">
        <v>115</v>
      </c>
      <c r="E197" t="s">
        <v>66</v>
      </c>
      <c r="F197" t="b">
        <v>0</v>
      </c>
      <c r="G197" t="b">
        <v>0</v>
      </c>
      <c r="H197">
        <v>1</v>
      </c>
      <c r="I197">
        <v>4.7839999999999998</v>
      </c>
      <c r="J197" t="s">
        <v>159</v>
      </c>
      <c r="K197" t="s">
        <v>159</v>
      </c>
      <c r="L197" t="s">
        <v>159</v>
      </c>
      <c r="M197" t="s">
        <v>159</v>
      </c>
      <c r="N197" t="s">
        <v>159</v>
      </c>
      <c r="O197" t="s">
        <v>159</v>
      </c>
      <c r="P197" t="s">
        <v>159</v>
      </c>
      <c r="Q197" t="s">
        <v>159</v>
      </c>
    </row>
    <row r="198" spans="1:17">
      <c r="A198">
        <v>286.5</v>
      </c>
      <c r="B198">
        <v>282.39999999999998</v>
      </c>
      <c r="C198">
        <v>136</v>
      </c>
      <c r="D198">
        <v>116</v>
      </c>
      <c r="E198" t="s">
        <v>66</v>
      </c>
      <c r="F198" t="b">
        <v>0</v>
      </c>
      <c r="G198" t="b">
        <v>0</v>
      </c>
      <c r="H198">
        <v>2.1</v>
      </c>
      <c r="I198">
        <v>4.7839999999999998</v>
      </c>
      <c r="J198" t="s">
        <v>159</v>
      </c>
      <c r="K198" t="s">
        <v>159</v>
      </c>
      <c r="L198" t="s">
        <v>159</v>
      </c>
      <c r="M198" t="s">
        <v>159</v>
      </c>
      <c r="N198" t="s">
        <v>159</v>
      </c>
      <c r="O198" t="s">
        <v>159</v>
      </c>
      <c r="P198" t="s">
        <v>159</v>
      </c>
      <c r="Q198" t="s">
        <v>159</v>
      </c>
    </row>
    <row r="199" spans="1:17">
      <c r="A199">
        <v>289.39999999999998</v>
      </c>
      <c r="B199">
        <v>285.3</v>
      </c>
      <c r="C199">
        <v>138</v>
      </c>
      <c r="D199">
        <v>117</v>
      </c>
      <c r="E199" t="s">
        <v>66</v>
      </c>
      <c r="F199" t="b">
        <v>0</v>
      </c>
      <c r="G199" t="b">
        <v>0</v>
      </c>
      <c r="H199">
        <v>2.8</v>
      </c>
      <c r="I199">
        <v>4.7839999999999998</v>
      </c>
      <c r="J199" t="s">
        <v>159</v>
      </c>
      <c r="K199" t="s">
        <v>159</v>
      </c>
      <c r="L199" t="s">
        <v>159</v>
      </c>
      <c r="M199" t="s">
        <v>159</v>
      </c>
      <c r="N199" t="s">
        <v>159</v>
      </c>
      <c r="O199" t="s">
        <v>159</v>
      </c>
      <c r="P199" t="s">
        <v>159</v>
      </c>
      <c r="Q199" t="s">
        <v>159</v>
      </c>
    </row>
    <row r="200" spans="1:17">
      <c r="A200">
        <v>291.39999999999998</v>
      </c>
      <c r="B200">
        <v>287.3</v>
      </c>
      <c r="C200">
        <v>140</v>
      </c>
      <c r="D200">
        <v>118</v>
      </c>
      <c r="E200" t="s">
        <v>66</v>
      </c>
      <c r="F200" t="b">
        <v>0</v>
      </c>
      <c r="G200" t="b">
        <v>0</v>
      </c>
      <c r="H200">
        <v>2</v>
      </c>
      <c r="I200">
        <v>4.7839999999999998</v>
      </c>
      <c r="J200" t="s">
        <v>159</v>
      </c>
      <c r="K200" t="s">
        <v>159</v>
      </c>
      <c r="L200" t="s">
        <v>159</v>
      </c>
      <c r="M200" t="s">
        <v>159</v>
      </c>
      <c r="N200" t="s">
        <v>159</v>
      </c>
      <c r="O200" t="s">
        <v>159</v>
      </c>
      <c r="P200" t="s">
        <v>159</v>
      </c>
      <c r="Q200" t="s">
        <v>159</v>
      </c>
    </row>
    <row r="201" spans="1:17">
      <c r="A201">
        <v>293.5</v>
      </c>
      <c r="B201">
        <v>289.39999999999998</v>
      </c>
      <c r="C201">
        <v>141</v>
      </c>
      <c r="D201">
        <v>119</v>
      </c>
      <c r="E201" t="s">
        <v>66</v>
      </c>
      <c r="F201" t="b">
        <v>0</v>
      </c>
      <c r="G201" t="b">
        <v>0</v>
      </c>
      <c r="H201">
        <v>2.1</v>
      </c>
      <c r="I201">
        <v>4.7839999999999998</v>
      </c>
      <c r="J201" t="s">
        <v>159</v>
      </c>
      <c r="K201" t="s">
        <v>159</v>
      </c>
      <c r="L201" t="s">
        <v>159</v>
      </c>
      <c r="M201" t="s">
        <v>159</v>
      </c>
      <c r="N201" t="s">
        <v>159</v>
      </c>
      <c r="O201" t="s">
        <v>159</v>
      </c>
      <c r="P201" t="s">
        <v>159</v>
      </c>
      <c r="Q201" t="s">
        <v>159</v>
      </c>
    </row>
    <row r="202" spans="1:17">
      <c r="A202">
        <v>295.2</v>
      </c>
      <c r="B202">
        <v>291.10000000000002</v>
      </c>
      <c r="C202">
        <v>143</v>
      </c>
      <c r="D202">
        <v>120</v>
      </c>
      <c r="E202" t="s">
        <v>66</v>
      </c>
      <c r="F202" t="b">
        <v>0</v>
      </c>
      <c r="G202" t="b">
        <v>0</v>
      </c>
      <c r="H202">
        <v>1.7</v>
      </c>
      <c r="I202">
        <v>4.7839999999999998</v>
      </c>
      <c r="J202" t="s">
        <v>159</v>
      </c>
      <c r="K202" t="s">
        <v>159</v>
      </c>
      <c r="L202" t="s">
        <v>159</v>
      </c>
      <c r="M202" t="s">
        <v>159</v>
      </c>
      <c r="N202" t="s">
        <v>159</v>
      </c>
      <c r="O202" t="s">
        <v>159</v>
      </c>
      <c r="P202" t="s">
        <v>159</v>
      </c>
      <c r="Q202" t="s">
        <v>159</v>
      </c>
    </row>
    <row r="203" spans="1:17">
      <c r="A203">
        <v>296.5</v>
      </c>
      <c r="B203">
        <v>292.39999999999998</v>
      </c>
      <c r="C203">
        <v>143</v>
      </c>
      <c r="D203">
        <v>121</v>
      </c>
      <c r="E203" t="s">
        <v>66</v>
      </c>
      <c r="F203" t="b">
        <v>0</v>
      </c>
      <c r="G203" t="b">
        <v>0</v>
      </c>
      <c r="H203">
        <v>1.3</v>
      </c>
      <c r="I203" t="s">
        <v>159</v>
      </c>
      <c r="J203" t="s">
        <v>159</v>
      </c>
      <c r="K203" t="s">
        <v>159</v>
      </c>
      <c r="L203" t="s">
        <v>159</v>
      </c>
      <c r="M203" t="s">
        <v>159</v>
      </c>
      <c r="N203" t="s">
        <v>159</v>
      </c>
      <c r="O203" t="s">
        <v>159</v>
      </c>
      <c r="P203" t="s">
        <v>159</v>
      </c>
      <c r="Q203" t="s">
        <v>159</v>
      </c>
    </row>
    <row r="204" spans="1:17">
      <c r="A204">
        <v>298.8</v>
      </c>
      <c r="B204">
        <v>294.7</v>
      </c>
      <c r="C204">
        <v>145</v>
      </c>
      <c r="D204">
        <v>122</v>
      </c>
      <c r="E204" t="s">
        <v>66</v>
      </c>
      <c r="F204" t="b">
        <v>0</v>
      </c>
      <c r="G204" t="b">
        <v>0</v>
      </c>
      <c r="H204">
        <v>2.2999999999999998</v>
      </c>
      <c r="I204" t="s">
        <v>159</v>
      </c>
      <c r="J204" t="s">
        <v>159</v>
      </c>
      <c r="K204" t="s">
        <v>159</v>
      </c>
      <c r="L204" t="s">
        <v>159</v>
      </c>
      <c r="M204" t="s">
        <v>159</v>
      </c>
      <c r="N204" t="s">
        <v>159</v>
      </c>
      <c r="O204" t="s">
        <v>159</v>
      </c>
      <c r="P204" t="s">
        <v>159</v>
      </c>
      <c r="Q204" t="s">
        <v>159</v>
      </c>
    </row>
    <row r="205" spans="1:17">
      <c r="A205">
        <v>299.7</v>
      </c>
      <c r="B205">
        <v>295.60000000000002</v>
      </c>
      <c r="C205">
        <v>146</v>
      </c>
      <c r="D205">
        <v>123</v>
      </c>
      <c r="E205" t="s">
        <v>66</v>
      </c>
      <c r="F205" t="b">
        <v>0</v>
      </c>
      <c r="G205" t="b">
        <v>0</v>
      </c>
      <c r="H205">
        <v>1</v>
      </c>
      <c r="I205">
        <v>4.9039999999999999</v>
      </c>
      <c r="J205">
        <v>0.84299999999999997</v>
      </c>
      <c r="K205">
        <v>3.2</v>
      </c>
      <c r="L205">
        <v>6.35</v>
      </c>
      <c r="M205">
        <v>12</v>
      </c>
      <c r="N205">
        <v>20.3</v>
      </c>
      <c r="O205">
        <v>16.47</v>
      </c>
      <c r="P205">
        <v>83.08</v>
      </c>
      <c r="Q205">
        <v>0.45</v>
      </c>
    </row>
    <row r="206" spans="1:17">
      <c r="A206">
        <v>301.5</v>
      </c>
      <c r="B206">
        <v>297.39999999999998</v>
      </c>
      <c r="C206">
        <v>147</v>
      </c>
      <c r="D206">
        <v>124</v>
      </c>
      <c r="E206" t="s">
        <v>66</v>
      </c>
      <c r="F206" t="b">
        <v>0</v>
      </c>
      <c r="G206" t="b">
        <v>0</v>
      </c>
      <c r="H206">
        <v>1.8</v>
      </c>
      <c r="I206">
        <v>4.9039999999999999</v>
      </c>
      <c r="J206">
        <v>0.84299999999999997</v>
      </c>
      <c r="K206">
        <v>3.2</v>
      </c>
      <c r="L206">
        <v>6.35</v>
      </c>
      <c r="M206">
        <v>12</v>
      </c>
      <c r="N206">
        <v>20.3</v>
      </c>
      <c r="O206">
        <v>16.47</v>
      </c>
      <c r="P206">
        <v>83.08</v>
      </c>
      <c r="Q206">
        <v>0.45</v>
      </c>
    </row>
    <row r="207" spans="1:17">
      <c r="A207">
        <v>303.2</v>
      </c>
      <c r="B207">
        <v>299.10000000000002</v>
      </c>
      <c r="C207">
        <v>148</v>
      </c>
      <c r="D207">
        <v>125</v>
      </c>
      <c r="E207" t="s">
        <v>66</v>
      </c>
      <c r="F207" t="b">
        <v>0</v>
      </c>
      <c r="G207" t="b">
        <v>0</v>
      </c>
      <c r="H207">
        <v>1.7</v>
      </c>
      <c r="I207">
        <v>4.9039999999999999</v>
      </c>
      <c r="J207">
        <v>0.84299999999999997</v>
      </c>
      <c r="K207">
        <v>3.2</v>
      </c>
      <c r="L207">
        <v>6.35</v>
      </c>
      <c r="M207">
        <v>12</v>
      </c>
      <c r="N207">
        <v>20.3</v>
      </c>
      <c r="O207">
        <v>16.47</v>
      </c>
      <c r="P207">
        <v>83.08</v>
      </c>
      <c r="Q207">
        <v>0.45</v>
      </c>
    </row>
    <row r="208" spans="1:17">
      <c r="A208">
        <v>304.60000000000002</v>
      </c>
      <c r="B208">
        <v>300.5</v>
      </c>
      <c r="C208">
        <v>149</v>
      </c>
      <c r="D208">
        <v>126</v>
      </c>
      <c r="E208" t="s">
        <v>66</v>
      </c>
      <c r="F208" t="b">
        <v>0</v>
      </c>
      <c r="G208" t="b">
        <v>0</v>
      </c>
      <c r="H208">
        <v>1.4</v>
      </c>
      <c r="I208">
        <v>4.9039999999999999</v>
      </c>
      <c r="J208">
        <v>0.84299999999999997</v>
      </c>
      <c r="K208">
        <v>3.2</v>
      </c>
      <c r="L208">
        <v>6.35</v>
      </c>
      <c r="M208">
        <v>12</v>
      </c>
      <c r="N208">
        <v>20.3</v>
      </c>
      <c r="O208">
        <v>16.47</v>
      </c>
      <c r="P208">
        <v>83.08</v>
      </c>
      <c r="Q208">
        <v>0.45</v>
      </c>
    </row>
    <row r="209" spans="1:17">
      <c r="A209">
        <v>306.10000000000002</v>
      </c>
      <c r="B209">
        <v>302</v>
      </c>
      <c r="C209">
        <v>150</v>
      </c>
      <c r="D209">
        <v>127</v>
      </c>
      <c r="E209" t="s">
        <v>66</v>
      </c>
      <c r="F209" t="b">
        <v>0</v>
      </c>
      <c r="G209" t="b">
        <v>0</v>
      </c>
      <c r="H209">
        <v>1.5</v>
      </c>
      <c r="I209">
        <v>4.9039999999999999</v>
      </c>
      <c r="J209">
        <v>0.84299999999999997</v>
      </c>
      <c r="K209">
        <v>3.2</v>
      </c>
      <c r="L209">
        <v>6.35</v>
      </c>
      <c r="M209">
        <v>12</v>
      </c>
      <c r="N209">
        <v>20.3</v>
      </c>
      <c r="O209">
        <v>16.47</v>
      </c>
      <c r="P209">
        <v>83.08</v>
      </c>
      <c r="Q209">
        <v>0.45</v>
      </c>
    </row>
    <row r="210" spans="1:17">
      <c r="A210">
        <v>307.89999999999998</v>
      </c>
      <c r="B210">
        <v>303.8</v>
      </c>
      <c r="C210">
        <v>152</v>
      </c>
      <c r="D210">
        <v>128</v>
      </c>
      <c r="E210" t="s">
        <v>66</v>
      </c>
      <c r="F210" t="b">
        <v>0</v>
      </c>
      <c r="G210" t="b">
        <v>0</v>
      </c>
      <c r="H210">
        <v>1.8</v>
      </c>
      <c r="I210">
        <v>4.9039999999999999</v>
      </c>
      <c r="J210">
        <v>0.84299999999999997</v>
      </c>
      <c r="K210">
        <v>3.2</v>
      </c>
      <c r="L210">
        <v>6.35</v>
      </c>
      <c r="M210">
        <v>12</v>
      </c>
      <c r="N210">
        <v>20.3</v>
      </c>
      <c r="O210">
        <v>16.47</v>
      </c>
      <c r="P210">
        <v>83.08</v>
      </c>
      <c r="Q210">
        <v>0.45</v>
      </c>
    </row>
    <row r="211" spans="1:17">
      <c r="A211">
        <v>309.5</v>
      </c>
      <c r="B211">
        <v>305.39999999999998</v>
      </c>
      <c r="C211">
        <v>153</v>
      </c>
      <c r="D211">
        <v>129</v>
      </c>
      <c r="E211" t="s">
        <v>66</v>
      </c>
      <c r="F211" t="b">
        <v>0</v>
      </c>
      <c r="G211" t="b">
        <v>0</v>
      </c>
      <c r="H211">
        <v>1.6</v>
      </c>
      <c r="I211">
        <v>4.9039999999999999</v>
      </c>
      <c r="J211">
        <v>0.84299999999999997</v>
      </c>
      <c r="K211">
        <v>3.2</v>
      </c>
      <c r="L211">
        <v>6.35</v>
      </c>
      <c r="M211">
        <v>12</v>
      </c>
      <c r="N211">
        <v>20.3</v>
      </c>
      <c r="O211">
        <v>16.47</v>
      </c>
      <c r="P211">
        <v>83.08</v>
      </c>
      <c r="Q211">
        <v>0.45</v>
      </c>
    </row>
    <row r="212" spans="1:17">
      <c r="A212">
        <v>311.10000000000002</v>
      </c>
      <c r="B212">
        <v>307</v>
      </c>
      <c r="C212">
        <v>154</v>
      </c>
      <c r="D212">
        <v>130</v>
      </c>
      <c r="E212" t="s">
        <v>66</v>
      </c>
      <c r="F212" t="b">
        <v>0</v>
      </c>
      <c r="G212" t="b">
        <v>0</v>
      </c>
      <c r="H212">
        <v>1.6</v>
      </c>
      <c r="I212">
        <v>4.9039999999999999</v>
      </c>
      <c r="J212">
        <v>0.84299999999999997</v>
      </c>
      <c r="K212">
        <v>3.2</v>
      </c>
      <c r="L212">
        <v>6.35</v>
      </c>
      <c r="M212">
        <v>12</v>
      </c>
      <c r="N212">
        <v>20.3</v>
      </c>
      <c r="O212">
        <v>16.47</v>
      </c>
      <c r="P212">
        <v>83.08</v>
      </c>
      <c r="Q212">
        <v>0.45</v>
      </c>
    </row>
    <row r="213" spans="1:17">
      <c r="A213">
        <v>313.5</v>
      </c>
      <c r="B213">
        <v>309.39999999999998</v>
      </c>
      <c r="C213">
        <v>156</v>
      </c>
      <c r="D213">
        <v>131</v>
      </c>
      <c r="E213" t="s">
        <v>66</v>
      </c>
      <c r="F213" t="b">
        <v>0</v>
      </c>
      <c r="G213" t="b">
        <v>0</v>
      </c>
      <c r="H213">
        <v>2.2999999999999998</v>
      </c>
      <c r="I213">
        <v>4.9039999999999999</v>
      </c>
      <c r="J213">
        <v>0.84299999999999997</v>
      </c>
      <c r="K213">
        <v>3.2</v>
      </c>
      <c r="L213">
        <v>6.35</v>
      </c>
      <c r="M213">
        <v>12</v>
      </c>
      <c r="N213">
        <v>20.3</v>
      </c>
      <c r="O213">
        <v>16.47</v>
      </c>
      <c r="P213">
        <v>83.08</v>
      </c>
      <c r="Q213">
        <v>0.45</v>
      </c>
    </row>
    <row r="214" spans="1:17">
      <c r="A214">
        <v>315.10000000000002</v>
      </c>
      <c r="B214">
        <v>311</v>
      </c>
      <c r="C214">
        <v>157</v>
      </c>
      <c r="D214">
        <v>132</v>
      </c>
      <c r="E214" t="s">
        <v>66</v>
      </c>
      <c r="F214" t="b">
        <v>0</v>
      </c>
      <c r="G214" t="b">
        <v>0</v>
      </c>
      <c r="H214">
        <v>1.6</v>
      </c>
      <c r="I214">
        <v>4.9039999999999999</v>
      </c>
      <c r="J214">
        <v>0.84299999999999997</v>
      </c>
      <c r="K214">
        <v>3.2</v>
      </c>
      <c r="L214">
        <v>6.35</v>
      </c>
      <c r="M214">
        <v>12</v>
      </c>
      <c r="N214">
        <v>20.3</v>
      </c>
      <c r="O214">
        <v>16.47</v>
      </c>
      <c r="P214">
        <v>83.08</v>
      </c>
      <c r="Q214">
        <v>0.45</v>
      </c>
    </row>
    <row r="215" spans="1:17">
      <c r="A215">
        <v>316.5</v>
      </c>
      <c r="B215">
        <v>312.39999999999998</v>
      </c>
      <c r="C215">
        <v>158</v>
      </c>
      <c r="D215">
        <v>133</v>
      </c>
      <c r="E215" t="s">
        <v>66</v>
      </c>
      <c r="F215" t="b">
        <v>0</v>
      </c>
      <c r="G215" t="b">
        <v>0</v>
      </c>
      <c r="H215">
        <v>1.4</v>
      </c>
      <c r="I215">
        <v>4.9039999999999999</v>
      </c>
      <c r="J215">
        <v>0.84299999999999997</v>
      </c>
      <c r="K215">
        <v>3.2</v>
      </c>
      <c r="L215">
        <v>6.35</v>
      </c>
      <c r="M215">
        <v>12</v>
      </c>
      <c r="N215">
        <v>20.3</v>
      </c>
      <c r="O215">
        <v>16.47</v>
      </c>
      <c r="P215">
        <v>83.08</v>
      </c>
      <c r="Q215">
        <v>0.45</v>
      </c>
    </row>
    <row r="216" spans="1:17">
      <c r="A216">
        <v>318</v>
      </c>
      <c r="B216">
        <v>313.89999999999998</v>
      </c>
      <c r="C216">
        <v>159</v>
      </c>
      <c r="D216">
        <v>134</v>
      </c>
      <c r="E216" t="s">
        <v>66</v>
      </c>
      <c r="F216" t="b">
        <v>0</v>
      </c>
      <c r="G216" t="b">
        <v>0</v>
      </c>
      <c r="H216">
        <v>1.5</v>
      </c>
      <c r="I216">
        <v>4.9039999999999999</v>
      </c>
      <c r="J216">
        <v>0.84299999999999997</v>
      </c>
      <c r="K216">
        <v>3.2</v>
      </c>
      <c r="L216">
        <v>6.35</v>
      </c>
      <c r="M216">
        <v>12</v>
      </c>
      <c r="N216">
        <v>20.3</v>
      </c>
      <c r="O216">
        <v>16.47</v>
      </c>
      <c r="P216">
        <v>83.08</v>
      </c>
      <c r="Q216">
        <v>0.45</v>
      </c>
    </row>
    <row r="217" spans="1:17">
      <c r="A217">
        <v>319.60000000000002</v>
      </c>
      <c r="B217">
        <v>315.5</v>
      </c>
      <c r="C217">
        <v>160</v>
      </c>
      <c r="D217">
        <v>135</v>
      </c>
      <c r="E217" t="s">
        <v>66</v>
      </c>
      <c r="F217" t="b">
        <v>0</v>
      </c>
      <c r="G217" t="b">
        <v>0</v>
      </c>
      <c r="H217">
        <v>1.6</v>
      </c>
      <c r="I217">
        <v>4.9039999999999999</v>
      </c>
      <c r="J217">
        <v>0.84299999999999997</v>
      </c>
      <c r="K217">
        <v>3.2</v>
      </c>
      <c r="L217">
        <v>6.35</v>
      </c>
      <c r="M217">
        <v>12</v>
      </c>
      <c r="N217">
        <v>20.3</v>
      </c>
      <c r="O217">
        <v>16.47</v>
      </c>
      <c r="P217">
        <v>83.08</v>
      </c>
      <c r="Q217">
        <v>0.45</v>
      </c>
    </row>
    <row r="218" spans="1:17">
      <c r="A218">
        <v>321.2</v>
      </c>
      <c r="B218">
        <v>317.10000000000002</v>
      </c>
      <c r="C218">
        <v>161</v>
      </c>
      <c r="D218">
        <v>136</v>
      </c>
      <c r="E218" t="s">
        <v>66</v>
      </c>
      <c r="F218" t="b">
        <v>0</v>
      </c>
      <c r="G218" t="b">
        <v>0</v>
      </c>
      <c r="H218">
        <v>1.6</v>
      </c>
      <c r="I218" t="s">
        <v>159</v>
      </c>
      <c r="J218" t="s">
        <v>159</v>
      </c>
      <c r="K218" t="s">
        <v>159</v>
      </c>
      <c r="L218" t="s">
        <v>159</v>
      </c>
      <c r="M218" t="s">
        <v>159</v>
      </c>
      <c r="N218" t="s">
        <v>159</v>
      </c>
      <c r="O218" t="s">
        <v>159</v>
      </c>
      <c r="P218" t="s">
        <v>159</v>
      </c>
      <c r="Q218" t="s">
        <v>159</v>
      </c>
    </row>
    <row r="219" spans="1:17">
      <c r="A219">
        <v>322.2</v>
      </c>
      <c r="B219">
        <v>318.10000000000002</v>
      </c>
      <c r="C219">
        <v>162</v>
      </c>
      <c r="D219">
        <v>137</v>
      </c>
      <c r="E219" t="s">
        <v>66</v>
      </c>
      <c r="F219" t="b">
        <v>0</v>
      </c>
      <c r="G219" t="b">
        <v>0</v>
      </c>
      <c r="H219">
        <v>1</v>
      </c>
      <c r="I219" t="s">
        <v>159</v>
      </c>
      <c r="J219" t="s">
        <v>159</v>
      </c>
      <c r="K219" t="s">
        <v>159</v>
      </c>
      <c r="L219" t="s">
        <v>159</v>
      </c>
      <c r="M219" t="s">
        <v>159</v>
      </c>
      <c r="N219" t="s">
        <v>159</v>
      </c>
      <c r="O219" t="s">
        <v>159</v>
      </c>
      <c r="P219" t="s">
        <v>159</v>
      </c>
      <c r="Q219" t="s">
        <v>159</v>
      </c>
    </row>
    <row r="220" spans="1:17">
      <c r="A220">
        <v>323.3</v>
      </c>
      <c r="B220">
        <v>319.2</v>
      </c>
      <c r="C220">
        <v>163</v>
      </c>
      <c r="D220">
        <v>138</v>
      </c>
      <c r="E220" t="s">
        <v>66</v>
      </c>
      <c r="F220" t="b">
        <v>0</v>
      </c>
      <c r="G220" t="b">
        <v>0</v>
      </c>
      <c r="H220">
        <v>1.1000000000000001</v>
      </c>
      <c r="I220" t="s">
        <v>159</v>
      </c>
      <c r="J220" t="s">
        <v>159</v>
      </c>
      <c r="K220" t="s">
        <v>159</v>
      </c>
      <c r="L220" t="s">
        <v>159</v>
      </c>
      <c r="M220" t="s">
        <v>159</v>
      </c>
      <c r="N220" t="s">
        <v>159</v>
      </c>
      <c r="O220" t="s">
        <v>159</v>
      </c>
      <c r="P220" t="s">
        <v>159</v>
      </c>
      <c r="Q220" t="s">
        <v>159</v>
      </c>
    </row>
    <row r="221" spans="1:17">
      <c r="A221">
        <v>324</v>
      </c>
      <c r="B221">
        <v>319.89999999999998</v>
      </c>
      <c r="C221">
        <v>163</v>
      </c>
      <c r="D221">
        <v>139</v>
      </c>
      <c r="E221" t="s">
        <v>66</v>
      </c>
      <c r="F221" t="b">
        <v>0</v>
      </c>
      <c r="G221" t="b">
        <v>0</v>
      </c>
      <c r="H221">
        <v>0.7</v>
      </c>
      <c r="I221" t="s">
        <v>159</v>
      </c>
      <c r="J221" t="s">
        <v>159</v>
      </c>
      <c r="K221" t="s">
        <v>159</v>
      </c>
      <c r="L221" t="s">
        <v>159</v>
      </c>
      <c r="M221" t="s">
        <v>159</v>
      </c>
      <c r="N221" t="s">
        <v>159</v>
      </c>
      <c r="O221" t="s">
        <v>159</v>
      </c>
      <c r="P221" t="s">
        <v>159</v>
      </c>
      <c r="Q221" t="s">
        <v>159</v>
      </c>
    </row>
    <row r="222" spans="1:17">
      <c r="A222">
        <v>349.8</v>
      </c>
      <c r="B222">
        <v>345.7</v>
      </c>
      <c r="C222">
        <v>182</v>
      </c>
      <c r="D222">
        <v>155</v>
      </c>
      <c r="E222" t="s">
        <v>66</v>
      </c>
      <c r="F222" t="b">
        <v>0</v>
      </c>
      <c r="G222" t="b">
        <v>1</v>
      </c>
      <c r="H222">
        <v>25.8</v>
      </c>
      <c r="I222">
        <v>4.1500000000000004</v>
      </c>
      <c r="J222">
        <v>0.78300000000000003</v>
      </c>
      <c r="K222">
        <v>2.95</v>
      </c>
      <c r="L222">
        <v>6.36</v>
      </c>
      <c r="M222">
        <v>12.9</v>
      </c>
      <c r="N222">
        <v>22.7</v>
      </c>
      <c r="O222">
        <v>18.55</v>
      </c>
      <c r="P222">
        <v>80.680000000000007</v>
      </c>
      <c r="Q222">
        <v>0.77</v>
      </c>
    </row>
    <row r="223" spans="1:17">
      <c r="A223">
        <v>351.1</v>
      </c>
      <c r="B223">
        <v>347</v>
      </c>
      <c r="C223">
        <v>183</v>
      </c>
      <c r="D223">
        <v>156</v>
      </c>
      <c r="E223" t="s">
        <v>66</v>
      </c>
      <c r="F223" t="b">
        <v>0</v>
      </c>
      <c r="G223" t="b">
        <v>0</v>
      </c>
      <c r="H223">
        <v>1.3</v>
      </c>
      <c r="I223">
        <v>4.1500000000000004</v>
      </c>
      <c r="J223">
        <v>0.78300000000000003</v>
      </c>
      <c r="K223">
        <v>2.95</v>
      </c>
      <c r="L223">
        <v>6.36</v>
      </c>
      <c r="M223">
        <v>12.9</v>
      </c>
      <c r="N223">
        <v>22.7</v>
      </c>
      <c r="O223">
        <v>18.55</v>
      </c>
      <c r="P223">
        <v>80.680000000000007</v>
      </c>
      <c r="Q223">
        <v>0.77</v>
      </c>
    </row>
    <row r="224" spans="1:17">
      <c r="A224">
        <v>353.7</v>
      </c>
      <c r="B224">
        <v>349.6</v>
      </c>
      <c r="C224">
        <v>185</v>
      </c>
      <c r="D224">
        <v>157</v>
      </c>
      <c r="E224" t="s">
        <v>66</v>
      </c>
      <c r="F224" t="b">
        <v>0</v>
      </c>
      <c r="G224" t="b">
        <v>0</v>
      </c>
      <c r="H224">
        <v>2.6</v>
      </c>
      <c r="I224">
        <v>4.1500000000000004</v>
      </c>
      <c r="J224">
        <v>0.78300000000000003</v>
      </c>
      <c r="K224">
        <v>2.95</v>
      </c>
      <c r="L224">
        <v>6.36</v>
      </c>
      <c r="M224">
        <v>12.9</v>
      </c>
      <c r="N224">
        <v>22.7</v>
      </c>
      <c r="O224">
        <v>18.55</v>
      </c>
      <c r="P224">
        <v>80.680000000000007</v>
      </c>
      <c r="Q224">
        <v>0.77</v>
      </c>
    </row>
    <row r="225" spans="1:17">
      <c r="A225">
        <v>355.9</v>
      </c>
      <c r="B225">
        <v>351.8</v>
      </c>
      <c r="C225">
        <v>186</v>
      </c>
      <c r="D225">
        <v>158</v>
      </c>
      <c r="E225" t="s">
        <v>66</v>
      </c>
      <c r="F225" t="b">
        <v>0</v>
      </c>
      <c r="G225" t="b">
        <v>0</v>
      </c>
      <c r="H225">
        <v>2.2000000000000002</v>
      </c>
      <c r="I225">
        <v>4.1500000000000004</v>
      </c>
      <c r="J225">
        <v>0.78300000000000003</v>
      </c>
      <c r="K225">
        <v>2.95</v>
      </c>
      <c r="L225">
        <v>6.36</v>
      </c>
      <c r="M225">
        <v>12.9</v>
      </c>
      <c r="N225">
        <v>22.7</v>
      </c>
      <c r="O225">
        <v>18.55</v>
      </c>
      <c r="P225">
        <v>80.680000000000007</v>
      </c>
      <c r="Q225">
        <v>0.77</v>
      </c>
    </row>
    <row r="226" spans="1:17">
      <c r="A226">
        <v>358.1</v>
      </c>
      <c r="B226">
        <v>354</v>
      </c>
      <c r="C226">
        <v>188</v>
      </c>
      <c r="D226">
        <v>159</v>
      </c>
      <c r="E226" t="s">
        <v>66</v>
      </c>
      <c r="F226" t="b">
        <v>0</v>
      </c>
      <c r="G226" t="b">
        <v>0</v>
      </c>
      <c r="H226">
        <v>2.2999999999999998</v>
      </c>
      <c r="I226">
        <v>4.1500000000000004</v>
      </c>
      <c r="J226">
        <v>0.78300000000000003</v>
      </c>
      <c r="K226">
        <v>2.95</v>
      </c>
      <c r="L226">
        <v>6.36</v>
      </c>
      <c r="M226">
        <v>12.9</v>
      </c>
      <c r="N226">
        <v>22.7</v>
      </c>
      <c r="O226">
        <v>18.55</v>
      </c>
      <c r="P226">
        <v>80.680000000000007</v>
      </c>
      <c r="Q226">
        <v>0.77</v>
      </c>
    </row>
    <row r="227" spans="1:17">
      <c r="A227">
        <v>359.2</v>
      </c>
      <c r="B227">
        <v>355.1</v>
      </c>
      <c r="C227">
        <v>189</v>
      </c>
      <c r="D227">
        <v>160</v>
      </c>
      <c r="E227" t="s">
        <v>66</v>
      </c>
      <c r="F227" t="b">
        <v>0</v>
      </c>
      <c r="G227" t="b">
        <v>0</v>
      </c>
      <c r="H227">
        <v>1.1000000000000001</v>
      </c>
      <c r="I227">
        <v>4.1500000000000004</v>
      </c>
      <c r="J227">
        <v>0.78300000000000003</v>
      </c>
      <c r="K227">
        <v>2.95</v>
      </c>
      <c r="L227">
        <v>6.36</v>
      </c>
      <c r="M227">
        <v>12.9</v>
      </c>
      <c r="N227">
        <v>22.7</v>
      </c>
      <c r="O227">
        <v>18.55</v>
      </c>
      <c r="P227">
        <v>80.680000000000007</v>
      </c>
      <c r="Q227">
        <v>0.77</v>
      </c>
    </row>
    <row r="228" spans="1:17">
      <c r="A228">
        <v>360.9</v>
      </c>
      <c r="B228">
        <v>356.8</v>
      </c>
      <c r="C228">
        <v>190</v>
      </c>
      <c r="D228">
        <v>161</v>
      </c>
      <c r="E228" t="s">
        <v>66</v>
      </c>
      <c r="F228" t="b">
        <v>0</v>
      </c>
      <c r="G228" t="b">
        <v>0</v>
      </c>
      <c r="H228">
        <v>1.7</v>
      </c>
      <c r="I228">
        <v>4.1500000000000004</v>
      </c>
      <c r="J228">
        <v>0.78300000000000003</v>
      </c>
      <c r="K228">
        <v>2.95</v>
      </c>
      <c r="L228">
        <v>6.36</v>
      </c>
      <c r="M228">
        <v>12.9</v>
      </c>
      <c r="N228">
        <v>22.7</v>
      </c>
      <c r="O228">
        <v>18.55</v>
      </c>
      <c r="P228">
        <v>80.680000000000007</v>
      </c>
      <c r="Q228">
        <v>0.77</v>
      </c>
    </row>
    <row r="229" spans="1:17">
      <c r="A229">
        <v>362.9</v>
      </c>
      <c r="B229">
        <v>358.8</v>
      </c>
      <c r="C229">
        <v>191</v>
      </c>
      <c r="D229">
        <v>162</v>
      </c>
      <c r="E229" t="s">
        <v>66</v>
      </c>
      <c r="F229" t="b">
        <v>0</v>
      </c>
      <c r="G229" t="b">
        <v>0</v>
      </c>
      <c r="H229">
        <v>2</v>
      </c>
      <c r="I229">
        <v>4.1500000000000004</v>
      </c>
      <c r="J229">
        <v>0.78300000000000003</v>
      </c>
      <c r="K229">
        <v>2.95</v>
      </c>
      <c r="L229">
        <v>6.36</v>
      </c>
      <c r="M229">
        <v>12.9</v>
      </c>
      <c r="N229">
        <v>22.7</v>
      </c>
      <c r="O229">
        <v>18.55</v>
      </c>
      <c r="P229">
        <v>80.680000000000007</v>
      </c>
      <c r="Q229">
        <v>0.77</v>
      </c>
    </row>
    <row r="230" spans="1:17">
      <c r="A230">
        <v>364.8</v>
      </c>
      <c r="B230">
        <v>360.7</v>
      </c>
      <c r="C230">
        <v>193</v>
      </c>
      <c r="D230">
        <v>163</v>
      </c>
      <c r="E230" t="s">
        <v>66</v>
      </c>
      <c r="F230" t="b">
        <v>0</v>
      </c>
      <c r="G230" t="b">
        <v>0</v>
      </c>
      <c r="H230">
        <v>2</v>
      </c>
      <c r="I230">
        <v>4.1500000000000004</v>
      </c>
      <c r="J230">
        <v>0.78300000000000003</v>
      </c>
      <c r="K230">
        <v>2.95</v>
      </c>
      <c r="L230">
        <v>6.36</v>
      </c>
      <c r="M230">
        <v>12.9</v>
      </c>
      <c r="N230">
        <v>22.7</v>
      </c>
      <c r="O230">
        <v>18.55</v>
      </c>
      <c r="P230">
        <v>80.680000000000007</v>
      </c>
      <c r="Q230">
        <v>0.77</v>
      </c>
    </row>
    <row r="231" spans="1:17">
      <c r="A231">
        <v>366.9</v>
      </c>
      <c r="B231">
        <v>362.8</v>
      </c>
      <c r="C231">
        <v>194</v>
      </c>
      <c r="D231">
        <v>164</v>
      </c>
      <c r="E231" t="s">
        <v>66</v>
      </c>
      <c r="F231" t="b">
        <v>0</v>
      </c>
      <c r="G231" t="b">
        <v>0</v>
      </c>
      <c r="H231">
        <v>2.1</v>
      </c>
      <c r="I231">
        <v>4.1500000000000004</v>
      </c>
      <c r="J231">
        <v>0.78300000000000003</v>
      </c>
      <c r="K231">
        <v>2.95</v>
      </c>
      <c r="L231">
        <v>6.36</v>
      </c>
      <c r="M231">
        <v>12.9</v>
      </c>
      <c r="N231">
        <v>22.7</v>
      </c>
      <c r="O231">
        <v>18.55</v>
      </c>
      <c r="P231">
        <v>80.680000000000007</v>
      </c>
      <c r="Q231">
        <v>0.77</v>
      </c>
    </row>
    <row r="232" spans="1:17">
      <c r="A232">
        <v>368.5</v>
      </c>
      <c r="B232">
        <v>364.4</v>
      </c>
      <c r="C232">
        <v>195</v>
      </c>
      <c r="D232">
        <v>165</v>
      </c>
      <c r="E232" t="s">
        <v>66</v>
      </c>
      <c r="F232" t="b">
        <v>0</v>
      </c>
      <c r="G232" t="b">
        <v>0</v>
      </c>
      <c r="H232">
        <v>1.6</v>
      </c>
      <c r="I232">
        <v>4.1500000000000004</v>
      </c>
      <c r="J232">
        <v>0.78300000000000003</v>
      </c>
      <c r="K232">
        <v>2.95</v>
      </c>
      <c r="L232">
        <v>6.36</v>
      </c>
      <c r="M232">
        <v>12.9</v>
      </c>
      <c r="N232">
        <v>22.7</v>
      </c>
      <c r="O232">
        <v>18.55</v>
      </c>
      <c r="P232">
        <v>80.680000000000007</v>
      </c>
      <c r="Q232">
        <v>0.77</v>
      </c>
    </row>
    <row r="233" spans="1:17">
      <c r="A233">
        <v>370.9</v>
      </c>
      <c r="B233">
        <v>366.8</v>
      </c>
      <c r="C233">
        <v>197</v>
      </c>
      <c r="D233">
        <v>166</v>
      </c>
      <c r="E233" t="s">
        <v>66</v>
      </c>
      <c r="F233" t="b">
        <v>0</v>
      </c>
      <c r="G233" t="b">
        <v>0</v>
      </c>
      <c r="H233">
        <v>2.4</v>
      </c>
      <c r="I233" t="s">
        <v>159</v>
      </c>
      <c r="J233" t="s">
        <v>159</v>
      </c>
      <c r="K233" t="s">
        <v>159</v>
      </c>
      <c r="L233" t="s">
        <v>159</v>
      </c>
      <c r="M233" t="s">
        <v>159</v>
      </c>
      <c r="N233" t="s">
        <v>159</v>
      </c>
      <c r="O233" t="s">
        <v>159</v>
      </c>
      <c r="P233" t="s">
        <v>159</v>
      </c>
      <c r="Q233" t="s">
        <v>159</v>
      </c>
    </row>
    <row r="234" spans="1:17">
      <c r="A234">
        <v>372.7</v>
      </c>
      <c r="B234">
        <v>368.6</v>
      </c>
      <c r="C234">
        <v>198</v>
      </c>
      <c r="D234">
        <v>167</v>
      </c>
      <c r="E234" t="s">
        <v>66</v>
      </c>
      <c r="F234" t="b">
        <v>0</v>
      </c>
      <c r="G234" t="b">
        <v>0</v>
      </c>
      <c r="H234">
        <v>1.8</v>
      </c>
      <c r="I234" t="s">
        <v>159</v>
      </c>
      <c r="J234" t="s">
        <v>159</v>
      </c>
      <c r="K234" t="s">
        <v>159</v>
      </c>
      <c r="L234" t="s">
        <v>159</v>
      </c>
      <c r="M234" t="s">
        <v>159</v>
      </c>
      <c r="N234" t="s">
        <v>159</v>
      </c>
      <c r="O234" t="s">
        <v>159</v>
      </c>
      <c r="P234" t="s">
        <v>159</v>
      </c>
      <c r="Q234" t="s">
        <v>159</v>
      </c>
    </row>
    <row r="235" spans="1:17">
      <c r="A235">
        <v>374.1</v>
      </c>
      <c r="B235">
        <v>370</v>
      </c>
      <c r="C235">
        <v>199</v>
      </c>
      <c r="D235">
        <v>168</v>
      </c>
      <c r="E235" t="s">
        <v>66</v>
      </c>
      <c r="F235" t="b">
        <v>0</v>
      </c>
      <c r="G235" t="b">
        <v>0</v>
      </c>
      <c r="H235">
        <v>1.4</v>
      </c>
      <c r="I235" t="s">
        <v>159</v>
      </c>
      <c r="J235" t="s">
        <v>159</v>
      </c>
      <c r="K235" t="s">
        <v>159</v>
      </c>
      <c r="L235" t="s">
        <v>159</v>
      </c>
      <c r="M235" t="s">
        <v>159</v>
      </c>
      <c r="N235" t="s">
        <v>159</v>
      </c>
      <c r="O235" t="s">
        <v>159</v>
      </c>
      <c r="P235" t="s">
        <v>159</v>
      </c>
      <c r="Q235" t="s">
        <v>159</v>
      </c>
    </row>
    <row r="236" spans="1:17">
      <c r="A236">
        <v>376</v>
      </c>
      <c r="B236">
        <v>371.9</v>
      </c>
      <c r="C236">
        <v>201</v>
      </c>
      <c r="D236">
        <v>169</v>
      </c>
      <c r="E236" t="s">
        <v>66</v>
      </c>
      <c r="F236" t="b">
        <v>0</v>
      </c>
      <c r="G236" t="b">
        <v>0</v>
      </c>
      <c r="H236">
        <v>2</v>
      </c>
      <c r="I236">
        <v>4.8179999999999996</v>
      </c>
      <c r="J236" t="s">
        <v>159</v>
      </c>
      <c r="K236" t="s">
        <v>159</v>
      </c>
      <c r="L236" t="s">
        <v>159</v>
      </c>
      <c r="M236" t="s">
        <v>159</v>
      </c>
      <c r="N236" t="s">
        <v>159</v>
      </c>
      <c r="O236" t="s">
        <v>159</v>
      </c>
      <c r="P236" t="s">
        <v>159</v>
      </c>
      <c r="Q236" t="s">
        <v>159</v>
      </c>
    </row>
    <row r="237" spans="1:17">
      <c r="A237">
        <v>377.3</v>
      </c>
      <c r="B237">
        <v>373.2</v>
      </c>
      <c r="C237">
        <v>202</v>
      </c>
      <c r="D237">
        <v>170</v>
      </c>
      <c r="E237" t="s">
        <v>66</v>
      </c>
      <c r="F237" t="b">
        <v>0</v>
      </c>
      <c r="G237" t="b">
        <v>0</v>
      </c>
      <c r="H237">
        <v>1.3</v>
      </c>
      <c r="I237">
        <v>4.8179999999999996</v>
      </c>
      <c r="J237" t="s">
        <v>159</v>
      </c>
      <c r="K237" t="s">
        <v>159</v>
      </c>
      <c r="L237" t="s">
        <v>159</v>
      </c>
      <c r="M237" t="s">
        <v>159</v>
      </c>
      <c r="N237" t="s">
        <v>159</v>
      </c>
      <c r="O237" t="s">
        <v>159</v>
      </c>
      <c r="P237" t="s">
        <v>159</v>
      </c>
      <c r="Q237" t="s">
        <v>159</v>
      </c>
    </row>
    <row r="238" spans="1:17">
      <c r="A238">
        <v>378.9</v>
      </c>
      <c r="B238">
        <v>374.8</v>
      </c>
      <c r="C238">
        <v>203</v>
      </c>
      <c r="D238">
        <v>171</v>
      </c>
      <c r="E238" t="s">
        <v>66</v>
      </c>
      <c r="F238" t="b">
        <v>0</v>
      </c>
      <c r="G238" t="b">
        <v>0</v>
      </c>
      <c r="H238">
        <v>1.6</v>
      </c>
      <c r="I238">
        <v>4.8179999999999996</v>
      </c>
      <c r="J238" t="s">
        <v>159</v>
      </c>
      <c r="K238" t="s">
        <v>159</v>
      </c>
      <c r="L238" t="s">
        <v>159</v>
      </c>
      <c r="M238" t="s">
        <v>159</v>
      </c>
      <c r="N238" t="s">
        <v>159</v>
      </c>
      <c r="O238" t="s">
        <v>159</v>
      </c>
      <c r="P238" t="s">
        <v>159</v>
      </c>
      <c r="Q238" t="s">
        <v>159</v>
      </c>
    </row>
    <row r="239" spans="1:17">
      <c r="A239">
        <v>380.4</v>
      </c>
      <c r="B239">
        <v>376.3</v>
      </c>
      <c r="C239">
        <v>204</v>
      </c>
      <c r="D239">
        <v>172</v>
      </c>
      <c r="E239" t="s">
        <v>66</v>
      </c>
      <c r="F239" t="b">
        <v>0</v>
      </c>
      <c r="G239" t="b">
        <v>0</v>
      </c>
      <c r="H239">
        <v>1.6</v>
      </c>
      <c r="I239">
        <v>4.8179999999999996</v>
      </c>
      <c r="J239" t="s">
        <v>159</v>
      </c>
      <c r="K239" t="s">
        <v>159</v>
      </c>
      <c r="L239" t="s">
        <v>159</v>
      </c>
      <c r="M239" t="s">
        <v>159</v>
      </c>
      <c r="N239" t="s">
        <v>159</v>
      </c>
      <c r="O239" t="s">
        <v>159</v>
      </c>
      <c r="P239" t="s">
        <v>159</v>
      </c>
      <c r="Q239" t="s">
        <v>159</v>
      </c>
    </row>
    <row r="240" spans="1:17">
      <c r="A240">
        <v>383.1</v>
      </c>
      <c r="B240">
        <v>379</v>
      </c>
      <c r="C240">
        <v>206</v>
      </c>
      <c r="D240">
        <v>173</v>
      </c>
      <c r="E240" t="s">
        <v>66</v>
      </c>
      <c r="F240" t="b">
        <v>0</v>
      </c>
      <c r="G240" t="b">
        <v>0</v>
      </c>
      <c r="H240">
        <v>2.7</v>
      </c>
      <c r="I240">
        <v>4.8179999999999996</v>
      </c>
      <c r="J240" t="s">
        <v>159</v>
      </c>
      <c r="K240" t="s">
        <v>159</v>
      </c>
      <c r="L240" t="s">
        <v>159</v>
      </c>
      <c r="M240" t="s">
        <v>159</v>
      </c>
      <c r="N240" t="s">
        <v>159</v>
      </c>
      <c r="O240" t="s">
        <v>159</v>
      </c>
      <c r="P240" t="s">
        <v>159</v>
      </c>
      <c r="Q240" t="s">
        <v>159</v>
      </c>
    </row>
    <row r="241" spans="1:17">
      <c r="A241">
        <v>385</v>
      </c>
      <c r="B241">
        <v>380.9</v>
      </c>
      <c r="C241">
        <v>207</v>
      </c>
      <c r="D241">
        <v>174</v>
      </c>
      <c r="E241" t="s">
        <v>66</v>
      </c>
      <c r="F241" t="b">
        <v>0</v>
      </c>
      <c r="G241" t="b">
        <v>0</v>
      </c>
      <c r="H241">
        <v>1.9</v>
      </c>
      <c r="I241">
        <v>4.8179999999999996</v>
      </c>
      <c r="J241" t="s">
        <v>159</v>
      </c>
      <c r="K241" t="s">
        <v>159</v>
      </c>
      <c r="L241" t="s">
        <v>159</v>
      </c>
      <c r="M241" t="s">
        <v>159</v>
      </c>
      <c r="N241" t="s">
        <v>159</v>
      </c>
      <c r="O241" t="s">
        <v>159</v>
      </c>
      <c r="P241" t="s">
        <v>159</v>
      </c>
      <c r="Q241" t="s">
        <v>159</v>
      </c>
    </row>
    <row r="242" spans="1:17">
      <c r="A242">
        <v>386.2</v>
      </c>
      <c r="B242">
        <v>382.1</v>
      </c>
      <c r="C242">
        <v>208</v>
      </c>
      <c r="D242">
        <v>175</v>
      </c>
      <c r="E242" t="s">
        <v>66</v>
      </c>
      <c r="F242" t="b">
        <v>0</v>
      </c>
      <c r="G242" t="b">
        <v>0</v>
      </c>
      <c r="H242">
        <v>1.2</v>
      </c>
      <c r="I242">
        <v>4.8179999999999996</v>
      </c>
      <c r="J242" t="s">
        <v>159</v>
      </c>
      <c r="K242" t="s">
        <v>159</v>
      </c>
      <c r="L242" t="s">
        <v>159</v>
      </c>
      <c r="M242" t="s">
        <v>159</v>
      </c>
      <c r="N242" t="s">
        <v>159</v>
      </c>
      <c r="O242" t="s">
        <v>159</v>
      </c>
      <c r="P242" t="s">
        <v>159</v>
      </c>
      <c r="Q242" t="s">
        <v>159</v>
      </c>
    </row>
    <row r="243" spans="1:17">
      <c r="A243">
        <v>387.4</v>
      </c>
      <c r="B243">
        <v>383.3</v>
      </c>
      <c r="C243">
        <v>209</v>
      </c>
      <c r="D243">
        <v>176</v>
      </c>
      <c r="E243" t="s">
        <v>66</v>
      </c>
      <c r="F243" t="b">
        <v>0</v>
      </c>
      <c r="G243" t="b">
        <v>0</v>
      </c>
      <c r="H243">
        <v>1.3</v>
      </c>
      <c r="I243">
        <v>4.8179999999999996</v>
      </c>
      <c r="J243" t="s">
        <v>159</v>
      </c>
      <c r="K243" t="s">
        <v>159</v>
      </c>
      <c r="L243" t="s">
        <v>159</v>
      </c>
      <c r="M243" t="s">
        <v>159</v>
      </c>
      <c r="N243" t="s">
        <v>159</v>
      </c>
      <c r="O243" t="s">
        <v>159</v>
      </c>
      <c r="P243" t="s">
        <v>159</v>
      </c>
      <c r="Q243" t="s">
        <v>159</v>
      </c>
    </row>
    <row r="244" spans="1:17">
      <c r="A244">
        <v>389.2</v>
      </c>
      <c r="B244">
        <v>385.1</v>
      </c>
      <c r="C244">
        <v>210</v>
      </c>
      <c r="D244">
        <v>177</v>
      </c>
      <c r="E244" t="s">
        <v>66</v>
      </c>
      <c r="F244" t="b">
        <v>0</v>
      </c>
      <c r="G244" t="b">
        <v>0</v>
      </c>
      <c r="H244">
        <v>1.7</v>
      </c>
      <c r="I244">
        <v>4.8179999999999996</v>
      </c>
      <c r="J244" t="s">
        <v>159</v>
      </c>
      <c r="K244" t="s">
        <v>159</v>
      </c>
      <c r="L244" t="s">
        <v>159</v>
      </c>
      <c r="M244" t="s">
        <v>159</v>
      </c>
      <c r="N244" t="s">
        <v>159</v>
      </c>
      <c r="O244" t="s">
        <v>159</v>
      </c>
      <c r="P244" t="s">
        <v>159</v>
      </c>
      <c r="Q244" t="s">
        <v>159</v>
      </c>
    </row>
    <row r="245" spans="1:17">
      <c r="A245">
        <v>391.8</v>
      </c>
      <c r="B245">
        <v>387.7</v>
      </c>
      <c r="C245">
        <v>212</v>
      </c>
      <c r="D245">
        <v>178</v>
      </c>
      <c r="E245" t="s">
        <v>66</v>
      </c>
      <c r="F245" t="b">
        <v>0</v>
      </c>
      <c r="G245" t="b">
        <v>0</v>
      </c>
      <c r="H245">
        <v>2.7</v>
      </c>
      <c r="I245">
        <v>4.8179999999999996</v>
      </c>
      <c r="J245" t="s">
        <v>159</v>
      </c>
      <c r="K245" t="s">
        <v>159</v>
      </c>
      <c r="L245" t="s">
        <v>159</v>
      </c>
      <c r="M245" t="s">
        <v>159</v>
      </c>
      <c r="N245" t="s">
        <v>159</v>
      </c>
      <c r="O245" t="s">
        <v>159</v>
      </c>
      <c r="P245" t="s">
        <v>159</v>
      </c>
      <c r="Q245" t="s">
        <v>159</v>
      </c>
    </row>
    <row r="246" spans="1:17">
      <c r="A246">
        <v>392.9</v>
      </c>
      <c r="B246">
        <v>388.8</v>
      </c>
      <c r="C246">
        <v>213</v>
      </c>
      <c r="D246">
        <v>179</v>
      </c>
      <c r="E246" t="s">
        <v>66</v>
      </c>
      <c r="F246" t="b">
        <v>0</v>
      </c>
      <c r="G246" t="b">
        <v>0</v>
      </c>
      <c r="H246">
        <v>1.1000000000000001</v>
      </c>
      <c r="I246">
        <v>4.8179999999999996</v>
      </c>
      <c r="J246" t="s">
        <v>159</v>
      </c>
      <c r="K246" t="s">
        <v>159</v>
      </c>
      <c r="L246" t="s">
        <v>159</v>
      </c>
      <c r="M246" t="s">
        <v>159</v>
      </c>
      <c r="N246" t="s">
        <v>159</v>
      </c>
      <c r="O246" t="s">
        <v>159</v>
      </c>
      <c r="P246" t="s">
        <v>159</v>
      </c>
      <c r="Q246" t="s">
        <v>159</v>
      </c>
    </row>
    <row r="247" spans="1:17">
      <c r="A247">
        <v>394.1</v>
      </c>
      <c r="B247">
        <v>390</v>
      </c>
      <c r="C247">
        <v>214</v>
      </c>
      <c r="D247">
        <v>180</v>
      </c>
      <c r="E247" t="s">
        <v>66</v>
      </c>
      <c r="F247" t="b">
        <v>0</v>
      </c>
      <c r="G247" t="b">
        <v>0</v>
      </c>
      <c r="H247">
        <v>1.2</v>
      </c>
      <c r="I247">
        <v>4.8179999999999996</v>
      </c>
      <c r="J247" t="s">
        <v>159</v>
      </c>
      <c r="K247" t="s">
        <v>159</v>
      </c>
      <c r="L247" t="s">
        <v>159</v>
      </c>
      <c r="M247" t="s">
        <v>159</v>
      </c>
      <c r="N247" t="s">
        <v>159</v>
      </c>
      <c r="O247" t="s">
        <v>159</v>
      </c>
      <c r="P247" t="s">
        <v>159</v>
      </c>
      <c r="Q247" t="s">
        <v>159</v>
      </c>
    </row>
    <row r="248" spans="1:17">
      <c r="A248">
        <v>395.2</v>
      </c>
      <c r="B248">
        <v>391.1</v>
      </c>
      <c r="C248">
        <v>215</v>
      </c>
      <c r="D248">
        <v>181</v>
      </c>
      <c r="E248" t="s">
        <v>66</v>
      </c>
      <c r="F248" t="b">
        <v>0</v>
      </c>
      <c r="G248" t="b">
        <v>0</v>
      </c>
      <c r="H248">
        <v>1.1000000000000001</v>
      </c>
      <c r="I248">
        <v>4.8179999999999996</v>
      </c>
      <c r="J248" t="s">
        <v>159</v>
      </c>
      <c r="K248" t="s">
        <v>159</v>
      </c>
      <c r="L248" t="s">
        <v>159</v>
      </c>
      <c r="M248" t="s">
        <v>159</v>
      </c>
      <c r="N248" t="s">
        <v>159</v>
      </c>
      <c r="O248" t="s">
        <v>159</v>
      </c>
      <c r="P248" t="s">
        <v>159</v>
      </c>
      <c r="Q248" t="s">
        <v>159</v>
      </c>
    </row>
    <row r="249" spans="1:17">
      <c r="A249">
        <v>396.5</v>
      </c>
      <c r="B249">
        <v>392.4</v>
      </c>
      <c r="C249">
        <v>215</v>
      </c>
      <c r="D249">
        <v>182</v>
      </c>
      <c r="E249" t="s">
        <v>66</v>
      </c>
      <c r="F249" t="b">
        <v>0</v>
      </c>
      <c r="G249" t="b">
        <v>0</v>
      </c>
      <c r="H249">
        <v>1.3</v>
      </c>
      <c r="I249" t="s">
        <v>159</v>
      </c>
      <c r="J249" t="s">
        <v>159</v>
      </c>
      <c r="K249" t="s">
        <v>159</v>
      </c>
      <c r="L249" t="s">
        <v>159</v>
      </c>
      <c r="M249" t="s">
        <v>159</v>
      </c>
      <c r="N249" t="s">
        <v>159</v>
      </c>
      <c r="O249" t="s">
        <v>159</v>
      </c>
      <c r="P249" t="s">
        <v>159</v>
      </c>
      <c r="Q249" t="s">
        <v>159</v>
      </c>
    </row>
    <row r="250" spans="1:17">
      <c r="A250">
        <v>397.9</v>
      </c>
      <c r="B250">
        <v>393.8</v>
      </c>
      <c r="C250">
        <v>217</v>
      </c>
      <c r="D250">
        <v>183</v>
      </c>
      <c r="E250" t="s">
        <v>66</v>
      </c>
      <c r="F250" t="b">
        <v>0</v>
      </c>
      <c r="G250" t="b">
        <v>0</v>
      </c>
      <c r="H250">
        <v>1.5</v>
      </c>
      <c r="I250" t="s">
        <v>159</v>
      </c>
      <c r="J250" t="s">
        <v>159</v>
      </c>
      <c r="K250" t="s">
        <v>159</v>
      </c>
      <c r="L250" t="s">
        <v>159</v>
      </c>
      <c r="M250" t="s">
        <v>159</v>
      </c>
      <c r="N250" t="s">
        <v>159</v>
      </c>
      <c r="O250" t="s">
        <v>159</v>
      </c>
      <c r="P250" t="s">
        <v>159</v>
      </c>
      <c r="Q250" t="s">
        <v>159</v>
      </c>
    </row>
    <row r="251" spans="1:17">
      <c r="A251">
        <v>398.9</v>
      </c>
      <c r="B251">
        <v>394.8</v>
      </c>
      <c r="C251">
        <v>217</v>
      </c>
      <c r="D251">
        <v>184</v>
      </c>
      <c r="E251" t="s">
        <v>66</v>
      </c>
      <c r="F251" t="b">
        <v>0</v>
      </c>
      <c r="G251" t="b">
        <v>0</v>
      </c>
      <c r="H251">
        <v>1</v>
      </c>
      <c r="I251" t="s">
        <v>159</v>
      </c>
      <c r="J251" t="s">
        <v>159</v>
      </c>
      <c r="K251" t="s">
        <v>159</v>
      </c>
      <c r="L251" t="s">
        <v>159</v>
      </c>
      <c r="M251" t="s">
        <v>159</v>
      </c>
      <c r="N251" t="s">
        <v>159</v>
      </c>
      <c r="O251" t="s">
        <v>159</v>
      </c>
      <c r="P251" t="s">
        <v>159</v>
      </c>
      <c r="Q251" t="s">
        <v>159</v>
      </c>
    </row>
    <row r="252" spans="1:17">
      <c r="A252">
        <v>400.3</v>
      </c>
      <c r="B252">
        <v>396.2</v>
      </c>
      <c r="C252">
        <v>218</v>
      </c>
      <c r="D252">
        <v>185</v>
      </c>
      <c r="E252" t="s">
        <v>66</v>
      </c>
      <c r="F252" t="b">
        <v>0</v>
      </c>
      <c r="G252" t="b">
        <v>0</v>
      </c>
      <c r="H252">
        <v>1.4</v>
      </c>
      <c r="I252">
        <v>4.9160000000000004</v>
      </c>
      <c r="J252">
        <v>0.72099999999999997</v>
      </c>
      <c r="K252">
        <v>2.5499999999999998</v>
      </c>
      <c r="L252">
        <v>5.48</v>
      </c>
      <c r="M252">
        <v>10.8</v>
      </c>
      <c r="N252">
        <v>19.5</v>
      </c>
      <c r="O252">
        <v>21.13</v>
      </c>
      <c r="P252">
        <v>78.47</v>
      </c>
      <c r="Q252">
        <v>0.4</v>
      </c>
    </row>
    <row r="253" spans="1:17">
      <c r="A253">
        <v>401.7</v>
      </c>
      <c r="B253">
        <v>397.6</v>
      </c>
      <c r="C253">
        <v>219</v>
      </c>
      <c r="D253">
        <v>186</v>
      </c>
      <c r="E253" t="s">
        <v>66</v>
      </c>
      <c r="F253" t="b">
        <v>0</v>
      </c>
      <c r="G253" t="b">
        <v>0</v>
      </c>
      <c r="H253">
        <v>1.4</v>
      </c>
      <c r="I253">
        <v>4.9160000000000004</v>
      </c>
      <c r="J253">
        <v>0.72099999999999997</v>
      </c>
      <c r="K253">
        <v>2.5499999999999998</v>
      </c>
      <c r="L253">
        <v>5.48</v>
      </c>
      <c r="M253">
        <v>10.8</v>
      </c>
      <c r="N253">
        <v>19.5</v>
      </c>
      <c r="O253">
        <v>21.13</v>
      </c>
      <c r="P253">
        <v>78.47</v>
      </c>
      <c r="Q253">
        <v>0.4</v>
      </c>
    </row>
    <row r="254" spans="1:17">
      <c r="A254">
        <v>402.6</v>
      </c>
      <c r="B254">
        <v>398.5</v>
      </c>
      <c r="C254">
        <v>220</v>
      </c>
      <c r="D254">
        <v>187</v>
      </c>
      <c r="E254" t="s">
        <v>66</v>
      </c>
      <c r="F254" t="b">
        <v>0</v>
      </c>
      <c r="G254" t="b">
        <v>0</v>
      </c>
      <c r="H254">
        <v>0.9</v>
      </c>
      <c r="I254">
        <v>4.9160000000000004</v>
      </c>
      <c r="J254">
        <v>0.72099999999999997</v>
      </c>
      <c r="K254">
        <v>2.5499999999999998</v>
      </c>
      <c r="L254">
        <v>5.48</v>
      </c>
      <c r="M254">
        <v>10.8</v>
      </c>
      <c r="N254">
        <v>19.5</v>
      </c>
      <c r="O254">
        <v>21.13</v>
      </c>
      <c r="P254">
        <v>78.47</v>
      </c>
      <c r="Q254">
        <v>0.4</v>
      </c>
    </row>
    <row r="255" spans="1:17">
      <c r="A255">
        <v>404.7</v>
      </c>
      <c r="B255">
        <v>400.6</v>
      </c>
      <c r="C255">
        <v>221</v>
      </c>
      <c r="D255">
        <v>188</v>
      </c>
      <c r="E255" t="s">
        <v>66</v>
      </c>
      <c r="F255" t="b">
        <v>0</v>
      </c>
      <c r="G255" t="b">
        <v>0</v>
      </c>
      <c r="H255">
        <v>2.1</v>
      </c>
      <c r="I255">
        <v>4.9160000000000004</v>
      </c>
      <c r="J255">
        <v>0.72099999999999997</v>
      </c>
      <c r="K255">
        <v>2.5499999999999998</v>
      </c>
      <c r="L255">
        <v>5.48</v>
      </c>
      <c r="M255">
        <v>10.8</v>
      </c>
      <c r="N255">
        <v>19.5</v>
      </c>
      <c r="O255">
        <v>21.13</v>
      </c>
      <c r="P255">
        <v>78.47</v>
      </c>
      <c r="Q255">
        <v>0.4</v>
      </c>
    </row>
    <row r="256" spans="1:17">
      <c r="A256">
        <v>407.5</v>
      </c>
      <c r="B256">
        <v>403.4</v>
      </c>
      <c r="C256">
        <v>223</v>
      </c>
      <c r="D256">
        <v>189</v>
      </c>
      <c r="E256" t="s">
        <v>66</v>
      </c>
      <c r="F256" t="b">
        <v>0</v>
      </c>
      <c r="G256" t="b">
        <v>0</v>
      </c>
      <c r="H256">
        <v>2.7</v>
      </c>
      <c r="I256">
        <v>4.9160000000000004</v>
      </c>
      <c r="J256">
        <v>0.72099999999999997</v>
      </c>
      <c r="K256">
        <v>2.5499999999999998</v>
      </c>
      <c r="L256">
        <v>5.48</v>
      </c>
      <c r="M256">
        <v>10.8</v>
      </c>
      <c r="N256">
        <v>19.5</v>
      </c>
      <c r="O256">
        <v>21.13</v>
      </c>
      <c r="P256">
        <v>78.47</v>
      </c>
      <c r="Q256">
        <v>0.4</v>
      </c>
    </row>
    <row r="257" spans="1:17">
      <c r="A257">
        <v>408.9</v>
      </c>
      <c r="B257">
        <v>404.8</v>
      </c>
      <c r="C257">
        <v>224</v>
      </c>
      <c r="D257">
        <v>190</v>
      </c>
      <c r="E257" t="s">
        <v>66</v>
      </c>
      <c r="F257" t="b">
        <v>0</v>
      </c>
      <c r="G257" t="b">
        <v>0</v>
      </c>
      <c r="H257">
        <v>1.4</v>
      </c>
      <c r="I257">
        <v>4.9160000000000004</v>
      </c>
      <c r="J257">
        <v>0.72099999999999997</v>
      </c>
      <c r="K257">
        <v>2.5499999999999998</v>
      </c>
      <c r="L257">
        <v>5.48</v>
      </c>
      <c r="M257">
        <v>10.8</v>
      </c>
      <c r="N257">
        <v>19.5</v>
      </c>
      <c r="O257">
        <v>21.13</v>
      </c>
      <c r="P257">
        <v>78.47</v>
      </c>
      <c r="Q257">
        <v>0.4</v>
      </c>
    </row>
    <row r="258" spans="1:17">
      <c r="A258">
        <v>410.8</v>
      </c>
      <c r="B258">
        <v>406.7</v>
      </c>
      <c r="C258">
        <v>226</v>
      </c>
      <c r="D258">
        <v>191</v>
      </c>
      <c r="E258" t="s">
        <v>66</v>
      </c>
      <c r="F258" t="b">
        <v>0</v>
      </c>
      <c r="G258" t="b">
        <v>0</v>
      </c>
      <c r="H258">
        <v>1.9</v>
      </c>
      <c r="I258">
        <v>4.9160000000000004</v>
      </c>
      <c r="J258">
        <v>0.72099999999999997</v>
      </c>
      <c r="K258">
        <v>2.5499999999999998</v>
      </c>
      <c r="L258">
        <v>5.48</v>
      </c>
      <c r="M258">
        <v>10.8</v>
      </c>
      <c r="N258">
        <v>19.5</v>
      </c>
      <c r="O258">
        <v>21.13</v>
      </c>
      <c r="P258">
        <v>78.47</v>
      </c>
      <c r="Q258">
        <v>0.4</v>
      </c>
    </row>
    <row r="259" spans="1:17">
      <c r="A259">
        <v>412.8</v>
      </c>
      <c r="B259">
        <v>408.7</v>
      </c>
      <c r="C259">
        <v>227</v>
      </c>
      <c r="D259">
        <v>192</v>
      </c>
      <c r="E259" t="s">
        <v>66</v>
      </c>
      <c r="F259" t="b">
        <v>0</v>
      </c>
      <c r="G259" t="b">
        <v>0</v>
      </c>
      <c r="H259">
        <v>2</v>
      </c>
      <c r="I259">
        <v>4.9160000000000004</v>
      </c>
      <c r="J259">
        <v>0.72099999999999997</v>
      </c>
      <c r="K259">
        <v>2.5499999999999998</v>
      </c>
      <c r="L259">
        <v>5.48</v>
      </c>
      <c r="M259">
        <v>10.8</v>
      </c>
      <c r="N259">
        <v>19.5</v>
      </c>
      <c r="O259">
        <v>21.13</v>
      </c>
      <c r="P259">
        <v>78.47</v>
      </c>
      <c r="Q259">
        <v>0.4</v>
      </c>
    </row>
    <row r="260" spans="1:17">
      <c r="A260">
        <v>414.3</v>
      </c>
      <c r="B260">
        <v>410.2</v>
      </c>
      <c r="C260">
        <v>228</v>
      </c>
      <c r="D260">
        <v>193</v>
      </c>
      <c r="E260" t="s">
        <v>66</v>
      </c>
      <c r="F260" t="b">
        <v>0</v>
      </c>
      <c r="G260" t="b">
        <v>0</v>
      </c>
      <c r="H260">
        <v>1.5</v>
      </c>
      <c r="I260">
        <v>4.9160000000000004</v>
      </c>
      <c r="J260">
        <v>0.72099999999999997</v>
      </c>
      <c r="K260">
        <v>2.5499999999999998</v>
      </c>
      <c r="L260">
        <v>5.48</v>
      </c>
      <c r="M260">
        <v>10.8</v>
      </c>
      <c r="N260">
        <v>19.5</v>
      </c>
      <c r="O260">
        <v>21.13</v>
      </c>
      <c r="P260">
        <v>78.47</v>
      </c>
      <c r="Q260">
        <v>0.4</v>
      </c>
    </row>
    <row r="261" spans="1:17">
      <c r="A261">
        <v>416.1</v>
      </c>
      <c r="B261">
        <v>411.9</v>
      </c>
      <c r="C261">
        <v>230</v>
      </c>
      <c r="D261">
        <v>194</v>
      </c>
      <c r="E261" t="s">
        <v>66</v>
      </c>
      <c r="F261" t="b">
        <v>0</v>
      </c>
      <c r="G261" t="b">
        <v>0</v>
      </c>
      <c r="H261">
        <v>1.8</v>
      </c>
      <c r="I261">
        <v>4.9160000000000004</v>
      </c>
      <c r="J261">
        <v>0.72099999999999997</v>
      </c>
      <c r="K261">
        <v>2.5499999999999998</v>
      </c>
      <c r="L261">
        <v>5.48</v>
      </c>
      <c r="M261">
        <v>10.8</v>
      </c>
      <c r="N261">
        <v>19.5</v>
      </c>
      <c r="O261">
        <v>21.13</v>
      </c>
      <c r="P261">
        <v>78.47</v>
      </c>
      <c r="Q261">
        <v>0.4</v>
      </c>
    </row>
    <row r="262" spans="1:17">
      <c r="A262">
        <v>418.7</v>
      </c>
      <c r="B262">
        <v>414.6</v>
      </c>
      <c r="C262">
        <v>231</v>
      </c>
      <c r="D262">
        <v>195</v>
      </c>
      <c r="E262" t="s">
        <v>66</v>
      </c>
      <c r="F262" t="b">
        <v>0</v>
      </c>
      <c r="G262" t="b">
        <v>0</v>
      </c>
      <c r="H262">
        <v>2.7</v>
      </c>
      <c r="I262">
        <v>4.9160000000000004</v>
      </c>
      <c r="J262">
        <v>0.72099999999999997</v>
      </c>
      <c r="K262">
        <v>2.5499999999999998</v>
      </c>
      <c r="L262">
        <v>5.48</v>
      </c>
      <c r="M262">
        <v>10.8</v>
      </c>
      <c r="N262">
        <v>19.5</v>
      </c>
      <c r="O262">
        <v>21.13</v>
      </c>
      <c r="P262">
        <v>78.47</v>
      </c>
      <c r="Q262">
        <v>0.4</v>
      </c>
    </row>
    <row r="263" spans="1:17">
      <c r="A263">
        <v>420.6</v>
      </c>
      <c r="B263">
        <v>416.5</v>
      </c>
      <c r="C263">
        <v>233</v>
      </c>
      <c r="D263">
        <v>196</v>
      </c>
      <c r="E263" t="s">
        <v>66</v>
      </c>
      <c r="F263" t="b">
        <v>0</v>
      </c>
      <c r="G263" t="b">
        <v>0</v>
      </c>
      <c r="H263">
        <v>1.9</v>
      </c>
      <c r="I263" t="s">
        <v>159</v>
      </c>
      <c r="J263" t="s">
        <v>159</v>
      </c>
      <c r="K263" t="s">
        <v>159</v>
      </c>
      <c r="L263" t="s">
        <v>159</v>
      </c>
      <c r="M263" t="s">
        <v>159</v>
      </c>
      <c r="N263" t="s">
        <v>159</v>
      </c>
      <c r="O263" t="s">
        <v>159</v>
      </c>
      <c r="P263" t="s">
        <v>159</v>
      </c>
      <c r="Q263" t="s">
        <v>159</v>
      </c>
    </row>
    <row r="264" spans="1:17">
      <c r="A264">
        <v>422.7</v>
      </c>
      <c r="B264">
        <v>418.6</v>
      </c>
      <c r="C264">
        <v>234</v>
      </c>
      <c r="D264">
        <v>197</v>
      </c>
      <c r="E264" t="s">
        <v>66</v>
      </c>
      <c r="F264" t="b">
        <v>0</v>
      </c>
      <c r="G264" t="b">
        <v>0</v>
      </c>
      <c r="H264">
        <v>2.1</v>
      </c>
      <c r="I264" t="s">
        <v>159</v>
      </c>
      <c r="J264" t="s">
        <v>159</v>
      </c>
      <c r="K264" t="s">
        <v>159</v>
      </c>
      <c r="L264" t="s">
        <v>159</v>
      </c>
      <c r="M264" t="s">
        <v>159</v>
      </c>
      <c r="N264" t="s">
        <v>159</v>
      </c>
      <c r="O264" t="s">
        <v>159</v>
      </c>
      <c r="P264" t="s">
        <v>159</v>
      </c>
      <c r="Q264" t="s">
        <v>159</v>
      </c>
    </row>
    <row r="265" spans="1:17">
      <c r="A265">
        <v>425.3</v>
      </c>
      <c r="B265">
        <v>421.2</v>
      </c>
      <c r="C265">
        <v>236</v>
      </c>
      <c r="D265">
        <v>198</v>
      </c>
      <c r="E265" t="s">
        <v>66</v>
      </c>
      <c r="F265" t="b">
        <v>0</v>
      </c>
      <c r="G265" t="b">
        <v>0</v>
      </c>
      <c r="H265">
        <v>2.6</v>
      </c>
      <c r="I265">
        <v>4.7990000000000004</v>
      </c>
      <c r="J265" t="s">
        <v>159</v>
      </c>
      <c r="K265" t="s">
        <v>159</v>
      </c>
      <c r="L265" t="s">
        <v>159</v>
      </c>
      <c r="M265" t="s">
        <v>159</v>
      </c>
      <c r="N265" t="s">
        <v>159</v>
      </c>
      <c r="O265" t="s">
        <v>159</v>
      </c>
      <c r="P265" t="s">
        <v>159</v>
      </c>
      <c r="Q265" t="s">
        <v>159</v>
      </c>
    </row>
    <row r="266" spans="1:17">
      <c r="A266">
        <v>427.4</v>
      </c>
      <c r="B266">
        <v>423.3</v>
      </c>
      <c r="C266">
        <v>238</v>
      </c>
      <c r="D266">
        <v>199</v>
      </c>
      <c r="E266" t="s">
        <v>66</v>
      </c>
      <c r="F266" t="b">
        <v>0</v>
      </c>
      <c r="G266" t="b">
        <v>0</v>
      </c>
      <c r="H266">
        <v>2.1</v>
      </c>
      <c r="I266">
        <v>4.7990000000000004</v>
      </c>
      <c r="J266" t="s">
        <v>159</v>
      </c>
      <c r="K266" t="s">
        <v>159</v>
      </c>
      <c r="L266" t="s">
        <v>159</v>
      </c>
      <c r="M266" t="s">
        <v>159</v>
      </c>
      <c r="N266" t="s">
        <v>159</v>
      </c>
      <c r="O266" t="s">
        <v>159</v>
      </c>
      <c r="P266" t="s">
        <v>159</v>
      </c>
      <c r="Q266" t="s">
        <v>159</v>
      </c>
    </row>
    <row r="267" spans="1:17">
      <c r="A267">
        <v>429.4</v>
      </c>
      <c r="B267">
        <v>425.2</v>
      </c>
      <c r="C267">
        <v>239</v>
      </c>
      <c r="D267">
        <v>200</v>
      </c>
      <c r="E267" t="s">
        <v>66</v>
      </c>
      <c r="F267" t="b">
        <v>0</v>
      </c>
      <c r="G267" t="b">
        <v>0</v>
      </c>
      <c r="H267">
        <v>1.9</v>
      </c>
      <c r="I267">
        <v>4.7990000000000004</v>
      </c>
      <c r="J267" t="s">
        <v>159</v>
      </c>
      <c r="K267" t="s">
        <v>159</v>
      </c>
      <c r="L267" t="s">
        <v>159</v>
      </c>
      <c r="M267" t="s">
        <v>159</v>
      </c>
      <c r="N267" t="s">
        <v>159</v>
      </c>
      <c r="O267" t="s">
        <v>159</v>
      </c>
      <c r="P267" t="s">
        <v>159</v>
      </c>
      <c r="Q267" t="s">
        <v>159</v>
      </c>
    </row>
    <row r="268" spans="1:17">
      <c r="A268">
        <v>431.2</v>
      </c>
      <c r="B268">
        <v>427.1</v>
      </c>
      <c r="C268">
        <v>240</v>
      </c>
      <c r="D268">
        <v>201</v>
      </c>
      <c r="E268" t="s">
        <v>66</v>
      </c>
      <c r="F268" t="b">
        <v>0</v>
      </c>
      <c r="G268" t="b">
        <v>0</v>
      </c>
      <c r="H268">
        <v>1.9</v>
      </c>
      <c r="I268">
        <v>4.7990000000000004</v>
      </c>
      <c r="J268" t="s">
        <v>159</v>
      </c>
      <c r="K268" t="s">
        <v>159</v>
      </c>
      <c r="L268" t="s">
        <v>159</v>
      </c>
      <c r="M268" t="s">
        <v>159</v>
      </c>
      <c r="N268" t="s">
        <v>159</v>
      </c>
      <c r="O268" t="s">
        <v>159</v>
      </c>
      <c r="P268" t="s">
        <v>159</v>
      </c>
      <c r="Q268" t="s">
        <v>159</v>
      </c>
    </row>
    <row r="269" spans="1:17">
      <c r="A269">
        <v>432.8</v>
      </c>
      <c r="B269">
        <v>428.7</v>
      </c>
      <c r="C269">
        <v>242</v>
      </c>
      <c r="D269">
        <v>202</v>
      </c>
      <c r="E269" t="s">
        <v>66</v>
      </c>
      <c r="F269" t="b">
        <v>0</v>
      </c>
      <c r="G269" t="b">
        <v>0</v>
      </c>
      <c r="H269">
        <v>1.5</v>
      </c>
      <c r="I269">
        <v>4.7990000000000004</v>
      </c>
      <c r="J269" t="s">
        <v>159</v>
      </c>
      <c r="K269" t="s">
        <v>159</v>
      </c>
      <c r="L269" t="s">
        <v>159</v>
      </c>
      <c r="M269" t="s">
        <v>159</v>
      </c>
      <c r="N269" t="s">
        <v>159</v>
      </c>
      <c r="O269" t="s">
        <v>159</v>
      </c>
      <c r="P269" t="s">
        <v>159</v>
      </c>
      <c r="Q269" t="s">
        <v>159</v>
      </c>
    </row>
    <row r="270" spans="1:17">
      <c r="A270">
        <v>434.6</v>
      </c>
      <c r="B270">
        <v>430.5</v>
      </c>
      <c r="C270">
        <v>243</v>
      </c>
      <c r="D270">
        <v>203</v>
      </c>
      <c r="E270" t="s">
        <v>66</v>
      </c>
      <c r="F270" t="b">
        <v>0</v>
      </c>
      <c r="G270" t="b">
        <v>0</v>
      </c>
      <c r="H270">
        <v>1.8</v>
      </c>
      <c r="I270">
        <v>4.7990000000000004</v>
      </c>
      <c r="J270" t="s">
        <v>159</v>
      </c>
      <c r="K270" t="s">
        <v>159</v>
      </c>
      <c r="L270" t="s">
        <v>159</v>
      </c>
      <c r="M270" t="s">
        <v>159</v>
      </c>
      <c r="N270" t="s">
        <v>159</v>
      </c>
      <c r="O270" t="s">
        <v>159</v>
      </c>
      <c r="P270" t="s">
        <v>159</v>
      </c>
      <c r="Q270" t="s">
        <v>159</v>
      </c>
    </row>
    <row r="271" spans="1:17">
      <c r="A271">
        <v>436.3</v>
      </c>
      <c r="B271">
        <v>432.2</v>
      </c>
      <c r="C271">
        <v>244</v>
      </c>
      <c r="D271">
        <v>204</v>
      </c>
      <c r="E271" t="s">
        <v>66</v>
      </c>
      <c r="F271" t="b">
        <v>0</v>
      </c>
      <c r="G271" t="b">
        <v>0</v>
      </c>
      <c r="H271">
        <v>1.7</v>
      </c>
      <c r="I271">
        <v>4.7990000000000004</v>
      </c>
      <c r="J271" t="s">
        <v>159</v>
      </c>
      <c r="K271" t="s">
        <v>159</v>
      </c>
      <c r="L271" t="s">
        <v>159</v>
      </c>
      <c r="M271" t="s">
        <v>159</v>
      </c>
      <c r="N271" t="s">
        <v>159</v>
      </c>
      <c r="O271" t="s">
        <v>159</v>
      </c>
      <c r="P271" t="s">
        <v>159</v>
      </c>
      <c r="Q271" t="s">
        <v>159</v>
      </c>
    </row>
    <row r="272" spans="1:17">
      <c r="A272">
        <v>438</v>
      </c>
      <c r="B272">
        <v>433.9</v>
      </c>
      <c r="C272">
        <v>245</v>
      </c>
      <c r="D272">
        <v>205</v>
      </c>
      <c r="E272" t="s">
        <v>66</v>
      </c>
      <c r="F272" t="b">
        <v>0</v>
      </c>
      <c r="G272" t="b">
        <v>0</v>
      </c>
      <c r="H272">
        <v>1.7</v>
      </c>
      <c r="I272">
        <v>4.7990000000000004</v>
      </c>
      <c r="J272" t="s">
        <v>159</v>
      </c>
      <c r="K272" t="s">
        <v>159</v>
      </c>
      <c r="L272" t="s">
        <v>159</v>
      </c>
      <c r="M272" t="s">
        <v>159</v>
      </c>
      <c r="N272" t="s">
        <v>159</v>
      </c>
      <c r="O272" t="s">
        <v>159</v>
      </c>
      <c r="P272" t="s">
        <v>159</v>
      </c>
      <c r="Q272" t="s">
        <v>159</v>
      </c>
    </row>
    <row r="273" spans="1:17">
      <c r="A273">
        <v>439.9</v>
      </c>
      <c r="B273">
        <v>435.8</v>
      </c>
      <c r="C273">
        <v>247</v>
      </c>
      <c r="D273">
        <v>206</v>
      </c>
      <c r="E273" t="s">
        <v>66</v>
      </c>
      <c r="F273" t="b">
        <v>0</v>
      </c>
      <c r="G273" t="b">
        <v>0</v>
      </c>
      <c r="H273">
        <v>1.9</v>
      </c>
      <c r="I273">
        <v>4.7990000000000004</v>
      </c>
      <c r="J273" t="s">
        <v>159</v>
      </c>
      <c r="K273" t="s">
        <v>159</v>
      </c>
      <c r="L273" t="s">
        <v>159</v>
      </c>
      <c r="M273" t="s">
        <v>159</v>
      </c>
      <c r="N273" t="s">
        <v>159</v>
      </c>
      <c r="O273" t="s">
        <v>159</v>
      </c>
      <c r="P273" t="s">
        <v>159</v>
      </c>
      <c r="Q273" t="s">
        <v>159</v>
      </c>
    </row>
    <row r="274" spans="1:17">
      <c r="A274">
        <v>441.9</v>
      </c>
      <c r="B274">
        <v>437.8</v>
      </c>
      <c r="C274">
        <v>248</v>
      </c>
      <c r="D274">
        <v>207</v>
      </c>
      <c r="E274" t="s">
        <v>66</v>
      </c>
      <c r="F274" t="b">
        <v>0</v>
      </c>
      <c r="G274" t="b">
        <v>0</v>
      </c>
      <c r="H274">
        <v>1.9</v>
      </c>
      <c r="I274">
        <v>4.7990000000000004</v>
      </c>
      <c r="J274" t="s">
        <v>159</v>
      </c>
      <c r="K274" t="s">
        <v>159</v>
      </c>
      <c r="L274" t="s">
        <v>159</v>
      </c>
      <c r="M274" t="s">
        <v>159</v>
      </c>
      <c r="N274" t="s">
        <v>159</v>
      </c>
      <c r="O274" t="s">
        <v>159</v>
      </c>
      <c r="P274" t="s">
        <v>159</v>
      </c>
      <c r="Q274" t="s">
        <v>159</v>
      </c>
    </row>
    <row r="275" spans="1:17">
      <c r="A275">
        <v>445.2</v>
      </c>
      <c r="B275">
        <v>441.1</v>
      </c>
      <c r="C275">
        <v>251</v>
      </c>
      <c r="D275">
        <v>208</v>
      </c>
      <c r="E275" t="s">
        <v>66</v>
      </c>
      <c r="F275" t="b">
        <v>0</v>
      </c>
      <c r="G275" t="b">
        <v>0</v>
      </c>
      <c r="H275">
        <v>3.4</v>
      </c>
      <c r="I275">
        <v>4.7990000000000004</v>
      </c>
      <c r="J275" t="s">
        <v>159</v>
      </c>
      <c r="K275" t="s">
        <v>159</v>
      </c>
      <c r="L275" t="s">
        <v>159</v>
      </c>
      <c r="M275" t="s">
        <v>159</v>
      </c>
      <c r="N275" t="s">
        <v>159</v>
      </c>
      <c r="O275" t="s">
        <v>159</v>
      </c>
      <c r="P275" t="s">
        <v>159</v>
      </c>
      <c r="Q275" t="s">
        <v>159</v>
      </c>
    </row>
    <row r="276" spans="1:17">
      <c r="A276">
        <v>446.8</v>
      </c>
      <c r="B276">
        <v>442.7</v>
      </c>
      <c r="C276">
        <v>252</v>
      </c>
      <c r="D276">
        <v>209</v>
      </c>
      <c r="E276" t="s">
        <v>66</v>
      </c>
      <c r="F276" t="b">
        <v>0</v>
      </c>
      <c r="G276" t="b">
        <v>0</v>
      </c>
      <c r="H276">
        <v>1.6</v>
      </c>
      <c r="I276" t="s">
        <v>159</v>
      </c>
      <c r="J276" t="s">
        <v>159</v>
      </c>
      <c r="K276" t="s">
        <v>159</v>
      </c>
      <c r="L276" t="s">
        <v>159</v>
      </c>
      <c r="M276" t="s">
        <v>159</v>
      </c>
      <c r="N276" t="s">
        <v>159</v>
      </c>
      <c r="O276" t="s">
        <v>159</v>
      </c>
      <c r="P276" t="s">
        <v>159</v>
      </c>
      <c r="Q276" t="s">
        <v>159</v>
      </c>
    </row>
    <row r="277" spans="1:17">
      <c r="A277">
        <v>448.8</v>
      </c>
      <c r="B277">
        <v>444.7</v>
      </c>
      <c r="C277">
        <v>253</v>
      </c>
      <c r="D277">
        <v>210</v>
      </c>
      <c r="E277" t="s">
        <v>66</v>
      </c>
      <c r="F277" t="b">
        <v>0</v>
      </c>
      <c r="G277" t="b">
        <v>0</v>
      </c>
      <c r="H277">
        <v>2</v>
      </c>
      <c r="I277" t="s">
        <v>159</v>
      </c>
      <c r="J277" t="s">
        <v>159</v>
      </c>
      <c r="K277" t="s">
        <v>159</v>
      </c>
      <c r="L277" t="s">
        <v>159</v>
      </c>
      <c r="M277" t="s">
        <v>159</v>
      </c>
      <c r="N277" t="s">
        <v>159</v>
      </c>
      <c r="O277" t="s">
        <v>159</v>
      </c>
      <c r="P277" t="s">
        <v>159</v>
      </c>
      <c r="Q277" t="s">
        <v>159</v>
      </c>
    </row>
    <row r="278" spans="1:17">
      <c r="A278">
        <v>451</v>
      </c>
      <c r="B278">
        <v>446.9</v>
      </c>
      <c r="C278">
        <v>255</v>
      </c>
      <c r="D278">
        <v>211</v>
      </c>
      <c r="E278" t="s">
        <v>66</v>
      </c>
      <c r="F278" t="b">
        <v>0</v>
      </c>
      <c r="G278" t="b">
        <v>0</v>
      </c>
      <c r="H278">
        <v>2.2000000000000002</v>
      </c>
      <c r="I278">
        <v>3.9319999999999999</v>
      </c>
      <c r="J278">
        <v>0.92500000000000004</v>
      </c>
      <c r="K278">
        <v>3.57</v>
      </c>
      <c r="L278">
        <v>6.95</v>
      </c>
      <c r="M278">
        <v>12.5</v>
      </c>
      <c r="N278">
        <v>20.2</v>
      </c>
      <c r="O278">
        <v>14.52</v>
      </c>
      <c r="P278">
        <v>85.06</v>
      </c>
      <c r="Q278">
        <v>0.42</v>
      </c>
    </row>
    <row r="279" spans="1:17">
      <c r="A279">
        <v>453.6</v>
      </c>
      <c r="B279">
        <v>449.5</v>
      </c>
      <c r="C279">
        <v>257</v>
      </c>
      <c r="D279">
        <v>212</v>
      </c>
      <c r="E279" t="s">
        <v>66</v>
      </c>
      <c r="F279" t="b">
        <v>0</v>
      </c>
      <c r="G279" t="b">
        <v>0</v>
      </c>
      <c r="H279">
        <v>2.6</v>
      </c>
      <c r="I279">
        <v>3.9319999999999999</v>
      </c>
      <c r="J279">
        <v>0.92500000000000004</v>
      </c>
      <c r="K279">
        <v>3.57</v>
      </c>
      <c r="L279">
        <v>6.95</v>
      </c>
      <c r="M279">
        <v>12.5</v>
      </c>
      <c r="N279">
        <v>20.2</v>
      </c>
      <c r="O279">
        <v>14.52</v>
      </c>
      <c r="P279">
        <v>85.06</v>
      </c>
      <c r="Q279">
        <v>0.42</v>
      </c>
    </row>
    <row r="280" spans="1:17">
      <c r="A280">
        <v>456</v>
      </c>
      <c r="B280">
        <v>451.9</v>
      </c>
      <c r="C280">
        <v>258</v>
      </c>
      <c r="D280">
        <v>213</v>
      </c>
      <c r="E280" t="s">
        <v>66</v>
      </c>
      <c r="F280" t="b">
        <v>0</v>
      </c>
      <c r="G280" t="b">
        <v>0</v>
      </c>
      <c r="H280">
        <v>2.4</v>
      </c>
      <c r="I280">
        <v>3.9319999999999999</v>
      </c>
      <c r="J280">
        <v>0.92500000000000004</v>
      </c>
      <c r="K280">
        <v>3.57</v>
      </c>
      <c r="L280">
        <v>6.95</v>
      </c>
      <c r="M280">
        <v>12.5</v>
      </c>
      <c r="N280">
        <v>20.2</v>
      </c>
      <c r="O280">
        <v>14.52</v>
      </c>
      <c r="P280">
        <v>85.06</v>
      </c>
      <c r="Q280">
        <v>0.42</v>
      </c>
    </row>
    <row r="281" spans="1:17">
      <c r="A281">
        <v>457.9</v>
      </c>
      <c r="B281">
        <v>453.8</v>
      </c>
      <c r="C281">
        <v>260</v>
      </c>
      <c r="D281">
        <v>214</v>
      </c>
      <c r="E281" t="s">
        <v>66</v>
      </c>
      <c r="F281" t="b">
        <v>0</v>
      </c>
      <c r="G281" t="b">
        <v>0</v>
      </c>
      <c r="H281">
        <v>1.8</v>
      </c>
      <c r="I281">
        <v>3.9319999999999999</v>
      </c>
      <c r="J281">
        <v>0.92500000000000004</v>
      </c>
      <c r="K281">
        <v>3.57</v>
      </c>
      <c r="L281">
        <v>6.95</v>
      </c>
      <c r="M281">
        <v>12.5</v>
      </c>
      <c r="N281">
        <v>20.2</v>
      </c>
      <c r="O281">
        <v>14.52</v>
      </c>
      <c r="P281">
        <v>85.06</v>
      </c>
      <c r="Q281">
        <v>0.42</v>
      </c>
    </row>
    <row r="282" spans="1:17">
      <c r="A282">
        <v>460.5</v>
      </c>
      <c r="B282">
        <v>456.4</v>
      </c>
      <c r="C282">
        <v>262</v>
      </c>
      <c r="D282">
        <v>215</v>
      </c>
      <c r="E282" t="s">
        <v>66</v>
      </c>
      <c r="F282" t="b">
        <v>0</v>
      </c>
      <c r="G282" t="b">
        <v>0</v>
      </c>
      <c r="H282">
        <v>2.6</v>
      </c>
      <c r="I282">
        <v>3.9319999999999999</v>
      </c>
      <c r="J282">
        <v>0.92500000000000004</v>
      </c>
      <c r="K282">
        <v>3.57</v>
      </c>
      <c r="L282">
        <v>6.95</v>
      </c>
      <c r="M282">
        <v>12.5</v>
      </c>
      <c r="N282">
        <v>20.2</v>
      </c>
      <c r="O282">
        <v>14.52</v>
      </c>
      <c r="P282">
        <v>85.06</v>
      </c>
      <c r="Q282">
        <v>0.42</v>
      </c>
    </row>
    <row r="283" spans="1:17">
      <c r="A283">
        <v>462.9</v>
      </c>
      <c r="B283">
        <v>458.8</v>
      </c>
      <c r="C283">
        <v>263</v>
      </c>
      <c r="D283">
        <v>216</v>
      </c>
      <c r="E283" t="s">
        <v>66</v>
      </c>
      <c r="F283" t="b">
        <v>0</v>
      </c>
      <c r="G283" t="b">
        <v>0</v>
      </c>
      <c r="H283">
        <v>2.4</v>
      </c>
      <c r="I283">
        <v>3.9319999999999999</v>
      </c>
      <c r="J283">
        <v>0.92500000000000004</v>
      </c>
      <c r="K283">
        <v>3.57</v>
      </c>
      <c r="L283">
        <v>6.95</v>
      </c>
      <c r="M283">
        <v>12.5</v>
      </c>
      <c r="N283">
        <v>20.2</v>
      </c>
      <c r="O283">
        <v>14.52</v>
      </c>
      <c r="P283">
        <v>85.06</v>
      </c>
      <c r="Q283">
        <v>0.42</v>
      </c>
    </row>
    <row r="284" spans="1:17">
      <c r="A284">
        <v>466</v>
      </c>
      <c r="B284">
        <v>461.9</v>
      </c>
      <c r="C284">
        <v>265</v>
      </c>
      <c r="D284">
        <v>217</v>
      </c>
      <c r="E284" t="s">
        <v>66</v>
      </c>
      <c r="F284" t="b">
        <v>0</v>
      </c>
      <c r="G284" t="b">
        <v>0</v>
      </c>
      <c r="H284">
        <v>3.1</v>
      </c>
      <c r="I284">
        <v>3.9319999999999999</v>
      </c>
      <c r="J284">
        <v>0.92500000000000004</v>
      </c>
      <c r="K284">
        <v>3.57</v>
      </c>
      <c r="L284">
        <v>6.95</v>
      </c>
      <c r="M284">
        <v>12.5</v>
      </c>
      <c r="N284">
        <v>20.2</v>
      </c>
      <c r="O284">
        <v>14.52</v>
      </c>
      <c r="P284">
        <v>85.06</v>
      </c>
      <c r="Q284">
        <v>0.42</v>
      </c>
    </row>
    <row r="285" spans="1:17">
      <c r="A285">
        <v>468</v>
      </c>
      <c r="B285">
        <v>463.9</v>
      </c>
      <c r="C285">
        <v>267</v>
      </c>
      <c r="D285">
        <v>218</v>
      </c>
      <c r="E285" t="s">
        <v>66</v>
      </c>
      <c r="F285" t="b">
        <v>0</v>
      </c>
      <c r="G285" t="b">
        <v>0</v>
      </c>
      <c r="H285">
        <v>2.1</v>
      </c>
      <c r="I285">
        <v>3.9319999999999999</v>
      </c>
      <c r="J285">
        <v>0.92500000000000004</v>
      </c>
      <c r="K285">
        <v>3.57</v>
      </c>
      <c r="L285">
        <v>6.95</v>
      </c>
      <c r="M285">
        <v>12.5</v>
      </c>
      <c r="N285">
        <v>20.2</v>
      </c>
      <c r="O285">
        <v>14.52</v>
      </c>
      <c r="P285">
        <v>85.06</v>
      </c>
      <c r="Q285">
        <v>0.42</v>
      </c>
    </row>
    <row r="286" spans="1:17">
      <c r="A286">
        <v>469.8</v>
      </c>
      <c r="B286">
        <v>465.7</v>
      </c>
      <c r="C286">
        <v>268</v>
      </c>
      <c r="D286">
        <v>219</v>
      </c>
      <c r="E286" t="s">
        <v>66</v>
      </c>
      <c r="F286" t="b">
        <v>0</v>
      </c>
      <c r="G286" t="b">
        <v>0</v>
      </c>
      <c r="H286">
        <v>1.8</v>
      </c>
      <c r="I286">
        <v>3.9319999999999999</v>
      </c>
      <c r="J286">
        <v>0.92500000000000004</v>
      </c>
      <c r="K286">
        <v>3.57</v>
      </c>
      <c r="L286">
        <v>6.95</v>
      </c>
      <c r="M286">
        <v>12.5</v>
      </c>
      <c r="N286">
        <v>20.2</v>
      </c>
      <c r="O286">
        <v>14.52</v>
      </c>
      <c r="P286">
        <v>85.06</v>
      </c>
      <c r="Q286">
        <v>0.42</v>
      </c>
    </row>
    <row r="287" spans="1:17">
      <c r="A287">
        <v>471.9</v>
      </c>
      <c r="B287">
        <v>467.8</v>
      </c>
      <c r="C287">
        <v>270</v>
      </c>
      <c r="D287">
        <v>220</v>
      </c>
      <c r="E287" t="s">
        <v>66</v>
      </c>
      <c r="F287" t="b">
        <v>0</v>
      </c>
      <c r="G287" t="b">
        <v>0</v>
      </c>
      <c r="H287">
        <v>2.1</v>
      </c>
      <c r="I287" t="s">
        <v>159</v>
      </c>
      <c r="J287" t="s">
        <v>159</v>
      </c>
      <c r="K287" t="s">
        <v>159</v>
      </c>
      <c r="L287" t="s">
        <v>159</v>
      </c>
      <c r="M287" t="s">
        <v>159</v>
      </c>
      <c r="N287" t="s">
        <v>159</v>
      </c>
      <c r="O287" t="s">
        <v>159</v>
      </c>
      <c r="P287" t="s">
        <v>159</v>
      </c>
      <c r="Q287" t="s">
        <v>159</v>
      </c>
    </row>
    <row r="288" spans="1:17">
      <c r="A288">
        <v>473</v>
      </c>
      <c r="B288">
        <v>468.9</v>
      </c>
      <c r="C288">
        <v>271</v>
      </c>
      <c r="D288">
        <v>221</v>
      </c>
      <c r="E288" t="s">
        <v>66</v>
      </c>
      <c r="F288" t="b">
        <v>0</v>
      </c>
      <c r="G288" t="b">
        <v>0</v>
      </c>
      <c r="H288">
        <v>1.1000000000000001</v>
      </c>
      <c r="I288" t="s">
        <v>159</v>
      </c>
      <c r="J288" t="s">
        <v>159</v>
      </c>
      <c r="K288" t="s">
        <v>159</v>
      </c>
      <c r="L288" t="s">
        <v>159</v>
      </c>
      <c r="M288" t="s">
        <v>159</v>
      </c>
      <c r="N288" t="s">
        <v>159</v>
      </c>
      <c r="O288" t="s">
        <v>159</v>
      </c>
      <c r="P288" t="s">
        <v>159</v>
      </c>
      <c r="Q288" t="s">
        <v>159</v>
      </c>
    </row>
    <row r="289" spans="1:17">
      <c r="A289">
        <v>479.3</v>
      </c>
      <c r="B289">
        <v>475.2</v>
      </c>
      <c r="C289">
        <v>275</v>
      </c>
      <c r="D289">
        <v>224</v>
      </c>
      <c r="E289" t="s">
        <v>66</v>
      </c>
      <c r="F289" t="b">
        <v>0</v>
      </c>
      <c r="G289" t="b">
        <v>1</v>
      </c>
      <c r="H289">
        <v>6.2</v>
      </c>
      <c r="I289">
        <v>4.5369999999999999</v>
      </c>
      <c r="J289" t="s">
        <v>159</v>
      </c>
      <c r="K289" t="s">
        <v>159</v>
      </c>
      <c r="L289" t="s">
        <v>159</v>
      </c>
      <c r="M289" t="s">
        <v>159</v>
      </c>
      <c r="N289" t="s">
        <v>159</v>
      </c>
      <c r="O289" t="s">
        <v>159</v>
      </c>
      <c r="P289" t="s">
        <v>159</v>
      </c>
      <c r="Q289" t="s">
        <v>159</v>
      </c>
    </row>
    <row r="290" spans="1:17">
      <c r="A290">
        <v>528</v>
      </c>
      <c r="B290">
        <v>523.9</v>
      </c>
      <c r="C290">
        <v>310</v>
      </c>
      <c r="D290">
        <v>252</v>
      </c>
      <c r="E290" t="s">
        <v>66</v>
      </c>
      <c r="F290" t="b">
        <v>0</v>
      </c>
      <c r="G290" t="b">
        <v>1</v>
      </c>
      <c r="H290">
        <v>48.7</v>
      </c>
      <c r="I290">
        <v>4.7389999999999999</v>
      </c>
      <c r="J290" t="s">
        <v>159</v>
      </c>
      <c r="K290" t="s">
        <v>159</v>
      </c>
      <c r="L290" t="s">
        <v>159</v>
      </c>
      <c r="M290" t="s">
        <v>159</v>
      </c>
      <c r="N290" t="s">
        <v>159</v>
      </c>
      <c r="O290" t="s">
        <v>159</v>
      </c>
      <c r="P290" t="s">
        <v>159</v>
      </c>
      <c r="Q290" t="s">
        <v>159</v>
      </c>
    </row>
    <row r="291" spans="1:17">
      <c r="A291">
        <v>529</v>
      </c>
      <c r="B291">
        <v>524.9</v>
      </c>
      <c r="C291">
        <v>311</v>
      </c>
      <c r="D291">
        <v>253</v>
      </c>
      <c r="E291" t="s">
        <v>66</v>
      </c>
      <c r="F291" t="b">
        <v>0</v>
      </c>
      <c r="G291" t="b">
        <v>0</v>
      </c>
      <c r="H291">
        <v>1</v>
      </c>
      <c r="I291">
        <v>4.7389999999999999</v>
      </c>
      <c r="J291" t="s">
        <v>159</v>
      </c>
      <c r="K291" t="s">
        <v>159</v>
      </c>
      <c r="L291" t="s">
        <v>159</v>
      </c>
      <c r="M291" t="s">
        <v>159</v>
      </c>
      <c r="N291" t="s">
        <v>159</v>
      </c>
      <c r="O291" t="s">
        <v>159</v>
      </c>
      <c r="P291" t="s">
        <v>159</v>
      </c>
      <c r="Q291" t="s">
        <v>159</v>
      </c>
    </row>
    <row r="292" spans="1:17">
      <c r="A292">
        <v>530.5</v>
      </c>
      <c r="B292">
        <v>526.4</v>
      </c>
      <c r="C292">
        <v>312</v>
      </c>
      <c r="D292">
        <v>254</v>
      </c>
      <c r="E292" t="s">
        <v>66</v>
      </c>
      <c r="F292" t="b">
        <v>0</v>
      </c>
      <c r="G292" t="b">
        <v>0</v>
      </c>
      <c r="H292">
        <v>1.6</v>
      </c>
      <c r="I292">
        <v>4.7389999999999999</v>
      </c>
      <c r="J292" t="s">
        <v>159</v>
      </c>
      <c r="K292" t="s">
        <v>159</v>
      </c>
      <c r="L292" t="s">
        <v>159</v>
      </c>
      <c r="M292" t="s">
        <v>159</v>
      </c>
      <c r="N292" t="s">
        <v>159</v>
      </c>
      <c r="O292" t="s">
        <v>159</v>
      </c>
      <c r="P292" t="s">
        <v>159</v>
      </c>
      <c r="Q292" t="s">
        <v>159</v>
      </c>
    </row>
    <row r="293" spans="1:17">
      <c r="A293">
        <v>533.79999999999995</v>
      </c>
      <c r="B293">
        <v>529.70000000000005</v>
      </c>
      <c r="C293">
        <v>314</v>
      </c>
      <c r="D293">
        <v>255</v>
      </c>
      <c r="E293" t="s">
        <v>66</v>
      </c>
      <c r="F293" t="b">
        <v>0</v>
      </c>
      <c r="G293" t="b">
        <v>0</v>
      </c>
      <c r="H293">
        <v>3.2</v>
      </c>
      <c r="I293">
        <v>4.7389999999999999</v>
      </c>
      <c r="J293" t="s">
        <v>159</v>
      </c>
      <c r="K293" t="s">
        <v>159</v>
      </c>
      <c r="L293" t="s">
        <v>159</v>
      </c>
      <c r="M293" t="s">
        <v>159</v>
      </c>
      <c r="N293" t="s">
        <v>159</v>
      </c>
      <c r="O293" t="s">
        <v>159</v>
      </c>
      <c r="P293" t="s">
        <v>159</v>
      </c>
      <c r="Q293" t="s">
        <v>159</v>
      </c>
    </row>
    <row r="294" spans="1:17">
      <c r="A294">
        <v>535.29999999999995</v>
      </c>
      <c r="B294">
        <v>531.20000000000005</v>
      </c>
      <c r="C294">
        <v>315</v>
      </c>
      <c r="D294">
        <v>256</v>
      </c>
      <c r="E294" t="s">
        <v>66</v>
      </c>
      <c r="F294" t="b">
        <v>0</v>
      </c>
      <c r="G294" t="b">
        <v>0</v>
      </c>
      <c r="H294">
        <v>1.5</v>
      </c>
      <c r="I294">
        <v>4.7389999999999999</v>
      </c>
      <c r="J294" t="s">
        <v>159</v>
      </c>
      <c r="K294" t="s">
        <v>159</v>
      </c>
      <c r="L294" t="s">
        <v>159</v>
      </c>
      <c r="M294" t="s">
        <v>159</v>
      </c>
      <c r="N294" t="s">
        <v>159</v>
      </c>
      <c r="O294" t="s">
        <v>159</v>
      </c>
      <c r="P294" t="s">
        <v>159</v>
      </c>
      <c r="Q294" t="s">
        <v>159</v>
      </c>
    </row>
    <row r="295" spans="1:17">
      <c r="A295">
        <v>536.29999999999995</v>
      </c>
      <c r="B295">
        <v>532.20000000000005</v>
      </c>
      <c r="C295">
        <v>316</v>
      </c>
      <c r="D295">
        <v>257</v>
      </c>
      <c r="E295" t="s">
        <v>66</v>
      </c>
      <c r="F295" t="b">
        <v>0</v>
      </c>
      <c r="G295" t="b">
        <v>0</v>
      </c>
      <c r="H295">
        <v>1</v>
      </c>
      <c r="I295">
        <v>4.7389999999999999</v>
      </c>
      <c r="J295" t="s">
        <v>159</v>
      </c>
      <c r="K295" t="s">
        <v>159</v>
      </c>
      <c r="L295" t="s">
        <v>159</v>
      </c>
      <c r="M295" t="s">
        <v>159</v>
      </c>
      <c r="N295" t="s">
        <v>159</v>
      </c>
      <c r="O295" t="s">
        <v>159</v>
      </c>
      <c r="P295" t="s">
        <v>159</v>
      </c>
      <c r="Q295" t="s">
        <v>159</v>
      </c>
    </row>
    <row r="296" spans="1:17">
      <c r="A296">
        <v>536.9</v>
      </c>
      <c r="B296">
        <v>532.79999999999995</v>
      </c>
      <c r="C296">
        <v>317</v>
      </c>
      <c r="D296">
        <v>258</v>
      </c>
      <c r="E296" t="s">
        <v>66</v>
      </c>
      <c r="F296" t="b">
        <v>0</v>
      </c>
      <c r="G296" t="b">
        <v>0</v>
      </c>
      <c r="H296">
        <v>0.6</v>
      </c>
      <c r="I296">
        <v>4.7389999999999999</v>
      </c>
      <c r="J296" t="s">
        <v>159</v>
      </c>
      <c r="K296" t="s">
        <v>159</v>
      </c>
      <c r="L296" t="s">
        <v>159</v>
      </c>
      <c r="M296" t="s">
        <v>159</v>
      </c>
      <c r="N296" t="s">
        <v>159</v>
      </c>
      <c r="O296" t="s">
        <v>159</v>
      </c>
      <c r="P296" t="s">
        <v>159</v>
      </c>
      <c r="Q296" t="s">
        <v>159</v>
      </c>
    </row>
    <row r="297" spans="1:17">
      <c r="A297">
        <v>537.79999999999995</v>
      </c>
      <c r="B297">
        <v>533.70000000000005</v>
      </c>
      <c r="C297">
        <v>317</v>
      </c>
      <c r="D297">
        <v>259</v>
      </c>
      <c r="E297" t="s">
        <v>66</v>
      </c>
      <c r="F297" t="b">
        <v>0</v>
      </c>
      <c r="G297" t="b">
        <v>0</v>
      </c>
      <c r="H297">
        <v>0.9</v>
      </c>
      <c r="I297">
        <v>4.7389999999999999</v>
      </c>
      <c r="J297" t="s">
        <v>159</v>
      </c>
      <c r="K297" t="s">
        <v>159</v>
      </c>
      <c r="L297" t="s">
        <v>159</v>
      </c>
      <c r="M297" t="s">
        <v>159</v>
      </c>
      <c r="N297" t="s">
        <v>159</v>
      </c>
      <c r="O297" t="s">
        <v>159</v>
      </c>
      <c r="P297" t="s">
        <v>159</v>
      </c>
      <c r="Q297" t="s">
        <v>159</v>
      </c>
    </row>
    <row r="298" spans="1:17">
      <c r="A298">
        <v>539.20000000000005</v>
      </c>
      <c r="B298">
        <v>535.1</v>
      </c>
      <c r="C298">
        <v>318</v>
      </c>
      <c r="D298">
        <v>260</v>
      </c>
      <c r="E298" t="s">
        <v>66</v>
      </c>
      <c r="F298" t="b">
        <v>0</v>
      </c>
      <c r="G298" t="b">
        <v>0</v>
      </c>
      <c r="H298">
        <v>1.4</v>
      </c>
      <c r="I298">
        <v>4.7389999999999999</v>
      </c>
      <c r="J298" t="s">
        <v>159</v>
      </c>
      <c r="K298" t="s">
        <v>159</v>
      </c>
      <c r="L298" t="s">
        <v>159</v>
      </c>
      <c r="M298" t="s">
        <v>159</v>
      </c>
      <c r="N298" t="s">
        <v>159</v>
      </c>
      <c r="O298" t="s">
        <v>159</v>
      </c>
      <c r="P298" t="s">
        <v>159</v>
      </c>
      <c r="Q298" t="s">
        <v>159</v>
      </c>
    </row>
    <row r="299" spans="1:17">
      <c r="A299">
        <v>540.9</v>
      </c>
      <c r="B299">
        <v>536.70000000000005</v>
      </c>
      <c r="C299">
        <v>319</v>
      </c>
      <c r="D299">
        <v>261</v>
      </c>
      <c r="E299" t="s">
        <v>66</v>
      </c>
      <c r="F299" t="b">
        <v>0</v>
      </c>
      <c r="G299" t="b">
        <v>0</v>
      </c>
      <c r="H299">
        <v>1.7</v>
      </c>
      <c r="I299">
        <v>4.7389999999999999</v>
      </c>
      <c r="J299" t="s">
        <v>159</v>
      </c>
      <c r="K299" t="s">
        <v>159</v>
      </c>
      <c r="L299" t="s">
        <v>159</v>
      </c>
      <c r="M299" t="s">
        <v>159</v>
      </c>
      <c r="N299" t="s">
        <v>159</v>
      </c>
      <c r="O299" t="s">
        <v>159</v>
      </c>
      <c r="P299" t="s">
        <v>159</v>
      </c>
      <c r="Q299" t="s">
        <v>159</v>
      </c>
    </row>
    <row r="300" spans="1:17">
      <c r="A300">
        <v>543.29999999999995</v>
      </c>
      <c r="B300">
        <v>539.20000000000005</v>
      </c>
      <c r="C300">
        <v>321</v>
      </c>
      <c r="D300">
        <v>262</v>
      </c>
      <c r="E300" t="s">
        <v>66</v>
      </c>
      <c r="F300" t="b">
        <v>0</v>
      </c>
      <c r="G300" t="b">
        <v>0</v>
      </c>
      <c r="H300">
        <v>2.4</v>
      </c>
      <c r="I300">
        <v>4.7389999999999999</v>
      </c>
      <c r="J300" t="s">
        <v>159</v>
      </c>
      <c r="K300" t="s">
        <v>159</v>
      </c>
      <c r="L300" t="s">
        <v>159</v>
      </c>
      <c r="M300" t="s">
        <v>159</v>
      </c>
      <c r="N300" t="s">
        <v>159</v>
      </c>
      <c r="O300" t="s">
        <v>159</v>
      </c>
      <c r="P300" t="s">
        <v>159</v>
      </c>
      <c r="Q300" t="s">
        <v>159</v>
      </c>
    </row>
    <row r="301" spans="1:17">
      <c r="A301">
        <v>544.79999999999995</v>
      </c>
      <c r="B301">
        <v>540.70000000000005</v>
      </c>
      <c r="C301">
        <v>322</v>
      </c>
      <c r="D301">
        <v>263</v>
      </c>
      <c r="E301" t="s">
        <v>66</v>
      </c>
      <c r="F301" t="b">
        <v>0</v>
      </c>
      <c r="G301" t="b">
        <v>0</v>
      </c>
      <c r="H301">
        <v>1.6</v>
      </c>
      <c r="I301">
        <v>4.7389999999999999</v>
      </c>
      <c r="J301" t="s">
        <v>159</v>
      </c>
      <c r="K301" t="s">
        <v>159</v>
      </c>
      <c r="L301" t="s">
        <v>159</v>
      </c>
      <c r="M301" t="s">
        <v>159</v>
      </c>
      <c r="N301" t="s">
        <v>159</v>
      </c>
      <c r="O301" t="s">
        <v>159</v>
      </c>
      <c r="P301" t="s">
        <v>159</v>
      </c>
      <c r="Q301" t="s">
        <v>159</v>
      </c>
    </row>
    <row r="302" spans="1:17">
      <c r="A302">
        <v>546.1</v>
      </c>
      <c r="B302">
        <v>542</v>
      </c>
      <c r="C302">
        <v>323</v>
      </c>
      <c r="D302">
        <v>264</v>
      </c>
      <c r="E302" t="s">
        <v>66</v>
      </c>
      <c r="F302" t="b">
        <v>0</v>
      </c>
      <c r="G302" t="b">
        <v>0</v>
      </c>
      <c r="H302">
        <v>1.3</v>
      </c>
      <c r="I302" t="s">
        <v>159</v>
      </c>
      <c r="J302" t="s">
        <v>159</v>
      </c>
      <c r="K302" t="s">
        <v>159</v>
      </c>
      <c r="L302" t="s">
        <v>159</v>
      </c>
      <c r="M302" t="s">
        <v>159</v>
      </c>
      <c r="N302" t="s">
        <v>159</v>
      </c>
      <c r="O302" t="s">
        <v>159</v>
      </c>
      <c r="P302" t="s">
        <v>159</v>
      </c>
      <c r="Q302" t="s">
        <v>159</v>
      </c>
    </row>
    <row r="303" spans="1:17">
      <c r="A303">
        <v>547</v>
      </c>
      <c r="B303">
        <v>542.9</v>
      </c>
      <c r="C303">
        <v>324</v>
      </c>
      <c r="D303">
        <v>265</v>
      </c>
      <c r="E303" t="s">
        <v>66</v>
      </c>
      <c r="F303" t="b">
        <v>0</v>
      </c>
      <c r="G303" t="b">
        <v>0</v>
      </c>
      <c r="H303">
        <v>0.9</v>
      </c>
      <c r="I303" t="s">
        <v>159</v>
      </c>
      <c r="J303" t="s">
        <v>159</v>
      </c>
      <c r="K303" t="s">
        <v>159</v>
      </c>
      <c r="L303" t="s">
        <v>159</v>
      </c>
      <c r="M303" t="s">
        <v>159</v>
      </c>
      <c r="N303" t="s">
        <v>159</v>
      </c>
      <c r="O303" t="s">
        <v>159</v>
      </c>
      <c r="P303" t="s">
        <v>159</v>
      </c>
      <c r="Q303" t="s">
        <v>159</v>
      </c>
    </row>
    <row r="304" spans="1:17">
      <c r="A304">
        <v>548.1</v>
      </c>
      <c r="B304">
        <v>544</v>
      </c>
      <c r="C304">
        <v>325</v>
      </c>
      <c r="D304">
        <v>266</v>
      </c>
      <c r="E304" t="s">
        <v>66</v>
      </c>
      <c r="F304" t="b">
        <v>0</v>
      </c>
      <c r="G304" t="b">
        <v>0</v>
      </c>
      <c r="H304">
        <v>1.1000000000000001</v>
      </c>
      <c r="I304" t="s">
        <v>159</v>
      </c>
      <c r="J304" t="s">
        <v>159</v>
      </c>
      <c r="K304" t="s">
        <v>159</v>
      </c>
      <c r="L304" t="s">
        <v>159</v>
      </c>
      <c r="M304" t="s">
        <v>159</v>
      </c>
      <c r="N304" t="s">
        <v>159</v>
      </c>
      <c r="O304" t="s">
        <v>159</v>
      </c>
      <c r="P304" t="s">
        <v>159</v>
      </c>
      <c r="Q304" t="s">
        <v>159</v>
      </c>
    </row>
    <row r="305" spans="1:17">
      <c r="A305">
        <v>549.1</v>
      </c>
      <c r="B305">
        <v>545</v>
      </c>
      <c r="C305">
        <v>325</v>
      </c>
      <c r="D305">
        <v>267</v>
      </c>
      <c r="E305" t="s">
        <v>66</v>
      </c>
      <c r="F305" t="b">
        <v>0</v>
      </c>
      <c r="G305" t="b">
        <v>0</v>
      </c>
      <c r="H305">
        <v>1</v>
      </c>
      <c r="I305" t="s">
        <v>159</v>
      </c>
      <c r="J305" t="s">
        <v>159</v>
      </c>
      <c r="K305" t="s">
        <v>159</v>
      </c>
      <c r="L305" t="s">
        <v>159</v>
      </c>
      <c r="M305" t="s">
        <v>159</v>
      </c>
      <c r="N305" t="s">
        <v>159</v>
      </c>
      <c r="O305" t="s">
        <v>159</v>
      </c>
      <c r="P305" t="s">
        <v>159</v>
      </c>
      <c r="Q305" t="s">
        <v>159</v>
      </c>
    </row>
    <row r="306" spans="1:17">
      <c r="A306">
        <v>551.29999999999995</v>
      </c>
      <c r="B306">
        <v>547.20000000000005</v>
      </c>
      <c r="C306">
        <v>327</v>
      </c>
      <c r="D306">
        <v>268</v>
      </c>
      <c r="E306" t="s">
        <v>66</v>
      </c>
      <c r="F306" t="b">
        <v>0</v>
      </c>
      <c r="G306" t="b">
        <v>0</v>
      </c>
      <c r="H306">
        <v>2.2000000000000002</v>
      </c>
      <c r="I306">
        <v>4.8390000000000004</v>
      </c>
      <c r="J306" t="s">
        <v>159</v>
      </c>
      <c r="K306" t="s">
        <v>159</v>
      </c>
      <c r="L306" t="s">
        <v>159</v>
      </c>
      <c r="M306" t="s">
        <v>159</v>
      </c>
      <c r="N306" t="s">
        <v>159</v>
      </c>
      <c r="O306" t="s">
        <v>159</v>
      </c>
      <c r="P306" t="s">
        <v>159</v>
      </c>
      <c r="Q306" t="s">
        <v>159</v>
      </c>
    </row>
    <row r="307" spans="1:17">
      <c r="A307">
        <v>553.9</v>
      </c>
      <c r="B307">
        <v>549.79999999999995</v>
      </c>
      <c r="C307">
        <v>329</v>
      </c>
      <c r="D307">
        <v>269</v>
      </c>
      <c r="E307" t="s">
        <v>66</v>
      </c>
      <c r="F307" t="b">
        <v>0</v>
      </c>
      <c r="G307" t="b">
        <v>0</v>
      </c>
      <c r="H307">
        <v>2.6</v>
      </c>
      <c r="I307">
        <v>4.8390000000000004</v>
      </c>
      <c r="J307" t="s">
        <v>159</v>
      </c>
      <c r="K307" t="s">
        <v>159</v>
      </c>
      <c r="L307" t="s">
        <v>159</v>
      </c>
      <c r="M307" t="s">
        <v>159</v>
      </c>
      <c r="N307" t="s">
        <v>159</v>
      </c>
      <c r="O307" t="s">
        <v>159</v>
      </c>
      <c r="P307" t="s">
        <v>159</v>
      </c>
      <c r="Q307" t="s">
        <v>159</v>
      </c>
    </row>
    <row r="308" spans="1:17">
      <c r="A308">
        <v>555.1</v>
      </c>
      <c r="B308">
        <v>551</v>
      </c>
      <c r="C308">
        <v>330</v>
      </c>
      <c r="D308">
        <v>270</v>
      </c>
      <c r="E308" t="s">
        <v>66</v>
      </c>
      <c r="F308" t="b">
        <v>0</v>
      </c>
      <c r="G308" t="b">
        <v>0</v>
      </c>
      <c r="H308">
        <v>1.2</v>
      </c>
      <c r="I308">
        <v>4.8390000000000004</v>
      </c>
      <c r="J308" t="s">
        <v>159</v>
      </c>
      <c r="K308" t="s">
        <v>159</v>
      </c>
      <c r="L308" t="s">
        <v>159</v>
      </c>
      <c r="M308" t="s">
        <v>159</v>
      </c>
      <c r="N308" t="s">
        <v>159</v>
      </c>
      <c r="O308" t="s">
        <v>159</v>
      </c>
      <c r="P308" t="s">
        <v>159</v>
      </c>
      <c r="Q308" t="s">
        <v>159</v>
      </c>
    </row>
    <row r="309" spans="1:17">
      <c r="A309">
        <v>557.79999999999995</v>
      </c>
      <c r="B309">
        <v>553.70000000000005</v>
      </c>
      <c r="C309">
        <v>332</v>
      </c>
      <c r="D309">
        <v>271</v>
      </c>
      <c r="E309" t="s">
        <v>66</v>
      </c>
      <c r="F309" t="b">
        <v>0</v>
      </c>
      <c r="G309" t="b">
        <v>0</v>
      </c>
      <c r="H309">
        <v>2.7</v>
      </c>
      <c r="I309">
        <v>4.8390000000000004</v>
      </c>
      <c r="J309" t="s">
        <v>159</v>
      </c>
      <c r="K309" t="s">
        <v>159</v>
      </c>
      <c r="L309" t="s">
        <v>159</v>
      </c>
      <c r="M309" t="s">
        <v>159</v>
      </c>
      <c r="N309" t="s">
        <v>159</v>
      </c>
      <c r="O309" t="s">
        <v>159</v>
      </c>
      <c r="P309" t="s">
        <v>159</v>
      </c>
      <c r="Q309" t="s">
        <v>159</v>
      </c>
    </row>
    <row r="310" spans="1:17">
      <c r="A310">
        <v>559.20000000000005</v>
      </c>
      <c r="B310">
        <v>555.1</v>
      </c>
      <c r="C310">
        <v>333</v>
      </c>
      <c r="D310">
        <v>272</v>
      </c>
      <c r="E310" t="s">
        <v>66</v>
      </c>
      <c r="F310" t="b">
        <v>0</v>
      </c>
      <c r="G310" t="b">
        <v>0</v>
      </c>
      <c r="H310">
        <v>1.4</v>
      </c>
      <c r="I310">
        <v>4.8390000000000004</v>
      </c>
      <c r="J310" t="s">
        <v>159</v>
      </c>
      <c r="K310" t="s">
        <v>159</v>
      </c>
      <c r="L310" t="s">
        <v>159</v>
      </c>
      <c r="M310" t="s">
        <v>159</v>
      </c>
      <c r="N310" t="s">
        <v>159</v>
      </c>
      <c r="O310" t="s">
        <v>159</v>
      </c>
      <c r="P310" t="s">
        <v>159</v>
      </c>
      <c r="Q310" t="s">
        <v>159</v>
      </c>
    </row>
    <row r="311" spans="1:17">
      <c r="A311">
        <v>561.79999999999995</v>
      </c>
      <c r="B311">
        <v>557.70000000000005</v>
      </c>
      <c r="C311">
        <v>334</v>
      </c>
      <c r="D311">
        <v>273</v>
      </c>
      <c r="E311" t="s">
        <v>66</v>
      </c>
      <c r="F311" t="b">
        <v>0</v>
      </c>
      <c r="G311" t="b">
        <v>0</v>
      </c>
      <c r="H311">
        <v>2.6</v>
      </c>
      <c r="I311">
        <v>4.8390000000000004</v>
      </c>
      <c r="J311" t="s">
        <v>159</v>
      </c>
      <c r="K311" t="s">
        <v>159</v>
      </c>
      <c r="L311" t="s">
        <v>159</v>
      </c>
      <c r="M311" t="s">
        <v>159</v>
      </c>
      <c r="N311" t="s">
        <v>159</v>
      </c>
      <c r="O311" t="s">
        <v>159</v>
      </c>
      <c r="P311" t="s">
        <v>159</v>
      </c>
      <c r="Q311" t="s">
        <v>159</v>
      </c>
    </row>
    <row r="312" spans="1:17">
      <c r="A312">
        <v>563.20000000000005</v>
      </c>
      <c r="B312">
        <v>559.1</v>
      </c>
      <c r="C312">
        <v>335</v>
      </c>
      <c r="D312">
        <v>274</v>
      </c>
      <c r="E312" t="s">
        <v>66</v>
      </c>
      <c r="F312" t="b">
        <v>0</v>
      </c>
      <c r="G312" t="b">
        <v>0</v>
      </c>
      <c r="H312">
        <v>1.4</v>
      </c>
      <c r="I312">
        <v>4.8390000000000004</v>
      </c>
      <c r="J312" t="s">
        <v>159</v>
      </c>
      <c r="K312" t="s">
        <v>159</v>
      </c>
      <c r="L312" t="s">
        <v>159</v>
      </c>
      <c r="M312" t="s">
        <v>159</v>
      </c>
      <c r="N312" t="s">
        <v>159</v>
      </c>
      <c r="O312" t="s">
        <v>159</v>
      </c>
      <c r="P312" t="s">
        <v>159</v>
      </c>
      <c r="Q312" t="s">
        <v>159</v>
      </c>
    </row>
    <row r="313" spans="1:17">
      <c r="A313">
        <v>564.4</v>
      </c>
      <c r="B313">
        <v>560.29999999999995</v>
      </c>
      <c r="C313">
        <v>336</v>
      </c>
      <c r="D313">
        <v>275</v>
      </c>
      <c r="E313" t="s">
        <v>66</v>
      </c>
      <c r="F313" t="b">
        <v>0</v>
      </c>
      <c r="G313" t="b">
        <v>0</v>
      </c>
      <c r="H313">
        <v>1.2</v>
      </c>
      <c r="I313">
        <v>4.8390000000000004</v>
      </c>
      <c r="J313" t="s">
        <v>159</v>
      </c>
      <c r="K313" t="s">
        <v>159</v>
      </c>
      <c r="L313" t="s">
        <v>159</v>
      </c>
      <c r="M313" t="s">
        <v>159</v>
      </c>
      <c r="N313" t="s">
        <v>159</v>
      </c>
      <c r="O313" t="s">
        <v>159</v>
      </c>
      <c r="P313" t="s">
        <v>159</v>
      </c>
      <c r="Q313" t="s">
        <v>159</v>
      </c>
    </row>
    <row r="314" spans="1:17">
      <c r="A314">
        <v>567.1</v>
      </c>
      <c r="B314">
        <v>563</v>
      </c>
      <c r="C314">
        <v>338</v>
      </c>
      <c r="D314">
        <v>276</v>
      </c>
      <c r="E314" t="s">
        <v>66</v>
      </c>
      <c r="F314" t="b">
        <v>0</v>
      </c>
      <c r="G314" t="b">
        <v>0</v>
      </c>
      <c r="H314">
        <v>2.8</v>
      </c>
      <c r="I314">
        <v>4.8390000000000004</v>
      </c>
      <c r="J314" t="s">
        <v>159</v>
      </c>
      <c r="K314" t="s">
        <v>159</v>
      </c>
      <c r="L314" t="s">
        <v>159</v>
      </c>
      <c r="M314" t="s">
        <v>159</v>
      </c>
      <c r="N314" t="s">
        <v>159</v>
      </c>
      <c r="O314" t="s">
        <v>159</v>
      </c>
      <c r="P314" t="s">
        <v>159</v>
      </c>
      <c r="Q314" t="s">
        <v>159</v>
      </c>
    </row>
    <row r="315" spans="1:17">
      <c r="A315">
        <v>568.29999999999995</v>
      </c>
      <c r="B315">
        <v>564.20000000000005</v>
      </c>
      <c r="C315">
        <v>339</v>
      </c>
      <c r="D315">
        <v>277</v>
      </c>
      <c r="E315" t="s">
        <v>66</v>
      </c>
      <c r="F315" t="b">
        <v>0</v>
      </c>
      <c r="G315" t="b">
        <v>0</v>
      </c>
      <c r="H315">
        <v>1.1000000000000001</v>
      </c>
      <c r="I315">
        <v>4.8390000000000004</v>
      </c>
      <c r="J315" t="s">
        <v>159</v>
      </c>
      <c r="K315" t="s">
        <v>159</v>
      </c>
      <c r="L315" t="s">
        <v>159</v>
      </c>
      <c r="M315" t="s">
        <v>159</v>
      </c>
      <c r="N315" t="s">
        <v>159</v>
      </c>
      <c r="O315" t="s">
        <v>159</v>
      </c>
      <c r="P315" t="s">
        <v>159</v>
      </c>
      <c r="Q315" t="s">
        <v>159</v>
      </c>
    </row>
    <row r="316" spans="1:17">
      <c r="A316">
        <v>570.20000000000005</v>
      </c>
      <c r="B316">
        <v>566.1</v>
      </c>
      <c r="C316">
        <v>341</v>
      </c>
      <c r="D316">
        <v>278</v>
      </c>
      <c r="E316" t="s">
        <v>66</v>
      </c>
      <c r="F316" t="b">
        <v>0</v>
      </c>
      <c r="G316" t="b">
        <v>0</v>
      </c>
      <c r="H316">
        <v>2</v>
      </c>
      <c r="I316">
        <v>4.8390000000000004</v>
      </c>
      <c r="J316" t="s">
        <v>159</v>
      </c>
      <c r="K316" t="s">
        <v>159</v>
      </c>
      <c r="L316" t="s">
        <v>159</v>
      </c>
      <c r="M316" t="s">
        <v>159</v>
      </c>
      <c r="N316" t="s">
        <v>159</v>
      </c>
      <c r="O316" t="s">
        <v>159</v>
      </c>
      <c r="P316" t="s">
        <v>159</v>
      </c>
      <c r="Q316" t="s">
        <v>159</v>
      </c>
    </row>
    <row r="317" spans="1:17">
      <c r="A317">
        <v>572.20000000000005</v>
      </c>
      <c r="B317">
        <v>568.1</v>
      </c>
      <c r="C317">
        <v>342</v>
      </c>
      <c r="D317">
        <v>279</v>
      </c>
      <c r="E317" t="s">
        <v>66</v>
      </c>
      <c r="F317" t="b">
        <v>0</v>
      </c>
      <c r="G317" t="b">
        <v>0</v>
      </c>
      <c r="H317">
        <v>1.9</v>
      </c>
      <c r="I317" t="s">
        <v>159</v>
      </c>
      <c r="J317" t="s">
        <v>159</v>
      </c>
      <c r="K317" t="s">
        <v>159</v>
      </c>
      <c r="L317" t="s">
        <v>159</v>
      </c>
      <c r="M317" t="s">
        <v>159</v>
      </c>
      <c r="N317" t="s">
        <v>159</v>
      </c>
      <c r="O317" t="s">
        <v>159</v>
      </c>
      <c r="P317" t="s">
        <v>159</v>
      </c>
      <c r="Q317" t="s">
        <v>159</v>
      </c>
    </row>
    <row r="318" spans="1:17">
      <c r="A318">
        <v>573.5</v>
      </c>
      <c r="B318">
        <v>569.4</v>
      </c>
      <c r="C318">
        <v>343</v>
      </c>
      <c r="D318">
        <v>280</v>
      </c>
      <c r="E318" t="s">
        <v>66</v>
      </c>
      <c r="F318" t="b">
        <v>0</v>
      </c>
      <c r="G318" t="b">
        <v>0</v>
      </c>
      <c r="H318">
        <v>1.3</v>
      </c>
      <c r="I318" t="s">
        <v>159</v>
      </c>
      <c r="J318" t="s">
        <v>159</v>
      </c>
      <c r="K318" t="s">
        <v>159</v>
      </c>
      <c r="L318" t="s">
        <v>159</v>
      </c>
      <c r="M318" t="s">
        <v>159</v>
      </c>
      <c r="N318" t="s">
        <v>159</v>
      </c>
      <c r="O318" t="s">
        <v>159</v>
      </c>
      <c r="P318" t="s">
        <v>159</v>
      </c>
      <c r="Q318" t="s">
        <v>159</v>
      </c>
    </row>
    <row r="319" spans="1:17">
      <c r="A319">
        <v>573.9</v>
      </c>
      <c r="B319">
        <v>569.79999999999995</v>
      </c>
      <c r="C319">
        <v>343</v>
      </c>
      <c r="D319">
        <v>281</v>
      </c>
      <c r="E319" t="s">
        <v>66</v>
      </c>
      <c r="F319" t="b">
        <v>0</v>
      </c>
      <c r="G319" t="b">
        <v>0</v>
      </c>
      <c r="H319">
        <v>0.4</v>
      </c>
      <c r="I319" t="s">
        <v>159</v>
      </c>
      <c r="J319" t="s">
        <v>159</v>
      </c>
      <c r="K319" t="s">
        <v>159</v>
      </c>
      <c r="L319" t="s">
        <v>159</v>
      </c>
      <c r="M319" t="s">
        <v>159</v>
      </c>
      <c r="N319" t="s">
        <v>159</v>
      </c>
      <c r="O319" t="s">
        <v>159</v>
      </c>
      <c r="P319" t="s">
        <v>159</v>
      </c>
      <c r="Q319" t="s">
        <v>159</v>
      </c>
    </row>
    <row r="320" spans="1:17">
      <c r="A320">
        <v>574.70000000000005</v>
      </c>
      <c r="B320">
        <v>570.6</v>
      </c>
      <c r="C320">
        <v>344</v>
      </c>
      <c r="D320">
        <v>282</v>
      </c>
      <c r="E320" t="s">
        <v>66</v>
      </c>
      <c r="F320" t="b">
        <v>0</v>
      </c>
      <c r="G320" t="b">
        <v>0</v>
      </c>
      <c r="H320">
        <v>0.8</v>
      </c>
      <c r="I320" t="s">
        <v>159</v>
      </c>
      <c r="J320" t="s">
        <v>159</v>
      </c>
      <c r="K320" t="s">
        <v>159</v>
      </c>
      <c r="L320" t="s">
        <v>159</v>
      </c>
      <c r="M320" t="s">
        <v>159</v>
      </c>
      <c r="N320" t="s">
        <v>159</v>
      </c>
      <c r="O320" t="s">
        <v>159</v>
      </c>
      <c r="P320" t="s">
        <v>159</v>
      </c>
      <c r="Q320" t="s">
        <v>159</v>
      </c>
    </row>
    <row r="321" spans="1:17">
      <c r="A321">
        <v>576</v>
      </c>
      <c r="B321">
        <v>571.9</v>
      </c>
      <c r="C321">
        <v>345</v>
      </c>
      <c r="D321">
        <v>283</v>
      </c>
      <c r="E321" t="s">
        <v>66</v>
      </c>
      <c r="F321" t="b">
        <v>0</v>
      </c>
      <c r="G321" t="b">
        <v>0</v>
      </c>
      <c r="H321">
        <v>1.2</v>
      </c>
      <c r="I321" t="s">
        <v>159</v>
      </c>
      <c r="J321" t="s">
        <v>159</v>
      </c>
      <c r="K321" t="s">
        <v>159</v>
      </c>
      <c r="L321" t="s">
        <v>159</v>
      </c>
      <c r="M321" t="s">
        <v>159</v>
      </c>
      <c r="N321" t="s">
        <v>159</v>
      </c>
      <c r="O321" t="s">
        <v>159</v>
      </c>
      <c r="P321" t="s">
        <v>159</v>
      </c>
      <c r="Q321" t="s">
        <v>159</v>
      </c>
    </row>
    <row r="322" spans="1:17">
      <c r="A322">
        <v>577.1</v>
      </c>
      <c r="B322">
        <v>573</v>
      </c>
      <c r="C322">
        <v>345</v>
      </c>
      <c r="D322">
        <v>284</v>
      </c>
      <c r="E322" t="s">
        <v>66</v>
      </c>
      <c r="F322" t="b">
        <v>0</v>
      </c>
      <c r="G322" t="b">
        <v>0</v>
      </c>
      <c r="H322">
        <v>1.1000000000000001</v>
      </c>
      <c r="I322" t="s">
        <v>159</v>
      </c>
      <c r="J322" t="s">
        <v>159</v>
      </c>
      <c r="K322" t="s">
        <v>159</v>
      </c>
      <c r="L322" t="s">
        <v>159</v>
      </c>
      <c r="M322" t="s">
        <v>159</v>
      </c>
      <c r="N322" t="s">
        <v>159</v>
      </c>
      <c r="O322" t="s">
        <v>159</v>
      </c>
      <c r="P322" t="s">
        <v>159</v>
      </c>
      <c r="Q322" t="s">
        <v>159</v>
      </c>
    </row>
    <row r="323" spans="1:17">
      <c r="A323">
        <v>578.29999999999995</v>
      </c>
      <c r="B323">
        <v>574.20000000000005</v>
      </c>
      <c r="C323">
        <v>346</v>
      </c>
      <c r="D323">
        <v>285</v>
      </c>
      <c r="E323" t="s">
        <v>66</v>
      </c>
      <c r="F323" t="b">
        <v>0</v>
      </c>
      <c r="G323" t="b">
        <v>0</v>
      </c>
      <c r="H323">
        <v>1.2</v>
      </c>
      <c r="I323" t="s">
        <v>159</v>
      </c>
      <c r="J323" t="s">
        <v>159</v>
      </c>
      <c r="K323" t="s">
        <v>159</v>
      </c>
      <c r="L323" t="s">
        <v>159</v>
      </c>
      <c r="M323" t="s">
        <v>159</v>
      </c>
      <c r="N323" t="s">
        <v>159</v>
      </c>
      <c r="O323" t="s">
        <v>159</v>
      </c>
      <c r="P323" t="s">
        <v>159</v>
      </c>
      <c r="Q323" t="s">
        <v>159</v>
      </c>
    </row>
    <row r="324" spans="1:17">
      <c r="A324">
        <v>580.1</v>
      </c>
      <c r="B324">
        <v>576</v>
      </c>
      <c r="C324">
        <v>348</v>
      </c>
      <c r="D324">
        <v>286</v>
      </c>
      <c r="E324" t="s">
        <v>66</v>
      </c>
      <c r="F324" t="b">
        <v>0</v>
      </c>
      <c r="G324" t="b">
        <v>0</v>
      </c>
      <c r="H324">
        <v>1.8</v>
      </c>
      <c r="I324" t="s">
        <v>159</v>
      </c>
      <c r="J324" t="s">
        <v>159</v>
      </c>
      <c r="K324" t="s">
        <v>159</v>
      </c>
      <c r="L324" t="s">
        <v>159</v>
      </c>
      <c r="M324" t="s">
        <v>159</v>
      </c>
      <c r="N324" t="s">
        <v>159</v>
      </c>
      <c r="O324" t="s">
        <v>159</v>
      </c>
      <c r="P324" t="s">
        <v>159</v>
      </c>
      <c r="Q324" t="s">
        <v>159</v>
      </c>
    </row>
    <row r="325" spans="1:17">
      <c r="A325">
        <v>581.20000000000005</v>
      </c>
      <c r="B325">
        <v>577.1</v>
      </c>
      <c r="C325">
        <v>348</v>
      </c>
      <c r="D325">
        <v>287</v>
      </c>
      <c r="E325" t="s">
        <v>66</v>
      </c>
      <c r="F325" t="b">
        <v>0</v>
      </c>
      <c r="G325" t="b">
        <v>0</v>
      </c>
      <c r="H325">
        <v>1.1000000000000001</v>
      </c>
      <c r="I325" t="s">
        <v>159</v>
      </c>
      <c r="J325" t="s">
        <v>159</v>
      </c>
      <c r="K325" t="s">
        <v>159</v>
      </c>
      <c r="L325" t="s">
        <v>159</v>
      </c>
      <c r="M325" t="s">
        <v>159</v>
      </c>
      <c r="N325" t="s">
        <v>159</v>
      </c>
      <c r="O325" t="s">
        <v>159</v>
      </c>
      <c r="P325" t="s">
        <v>159</v>
      </c>
      <c r="Q325" t="s">
        <v>159</v>
      </c>
    </row>
    <row r="326" spans="1:17">
      <c r="A326">
        <v>582.29999999999995</v>
      </c>
      <c r="B326">
        <v>578.20000000000005</v>
      </c>
      <c r="C326">
        <v>349</v>
      </c>
      <c r="D326">
        <v>288</v>
      </c>
      <c r="E326" t="s">
        <v>66</v>
      </c>
      <c r="F326" t="b">
        <v>0</v>
      </c>
      <c r="G326" t="b">
        <v>0</v>
      </c>
      <c r="H326">
        <v>1.1000000000000001</v>
      </c>
      <c r="I326" t="s">
        <v>159</v>
      </c>
      <c r="J326" t="s">
        <v>159</v>
      </c>
      <c r="K326" t="s">
        <v>159</v>
      </c>
      <c r="L326" t="s">
        <v>159</v>
      </c>
      <c r="M326" t="s">
        <v>159</v>
      </c>
      <c r="N326" t="s">
        <v>159</v>
      </c>
      <c r="O326" t="s">
        <v>159</v>
      </c>
      <c r="P326" t="s">
        <v>159</v>
      </c>
      <c r="Q326" t="s">
        <v>159</v>
      </c>
    </row>
    <row r="327" spans="1:17">
      <c r="A327">
        <v>583.70000000000005</v>
      </c>
      <c r="B327">
        <v>579.6</v>
      </c>
      <c r="C327">
        <v>350</v>
      </c>
      <c r="D327">
        <v>289</v>
      </c>
      <c r="E327" t="s">
        <v>66</v>
      </c>
      <c r="F327" t="b">
        <v>0</v>
      </c>
      <c r="G327" t="b">
        <v>0</v>
      </c>
      <c r="H327">
        <v>1.4</v>
      </c>
      <c r="I327" t="s">
        <v>159</v>
      </c>
      <c r="J327" t="s">
        <v>159</v>
      </c>
      <c r="K327" t="s">
        <v>159</v>
      </c>
      <c r="L327" t="s">
        <v>159</v>
      </c>
      <c r="M327" t="s">
        <v>159</v>
      </c>
      <c r="N327" t="s">
        <v>159</v>
      </c>
      <c r="O327" t="s">
        <v>159</v>
      </c>
      <c r="P327" t="s">
        <v>159</v>
      </c>
      <c r="Q327" t="s">
        <v>159</v>
      </c>
    </row>
    <row r="328" spans="1:17">
      <c r="A328">
        <v>587.70000000000005</v>
      </c>
      <c r="B328">
        <v>579.6</v>
      </c>
      <c r="C328">
        <v>350</v>
      </c>
      <c r="D328">
        <v>289</v>
      </c>
      <c r="E328" t="s">
        <v>66</v>
      </c>
      <c r="F328" t="b">
        <v>1</v>
      </c>
      <c r="G328" t="b">
        <v>0</v>
      </c>
      <c r="H328">
        <v>4</v>
      </c>
      <c r="I328" t="s">
        <v>159</v>
      </c>
      <c r="J328" t="s">
        <v>159</v>
      </c>
      <c r="K328" t="s">
        <v>159</v>
      </c>
      <c r="L328" t="s">
        <v>159</v>
      </c>
      <c r="M328" t="s">
        <v>159</v>
      </c>
      <c r="N328" t="s">
        <v>159</v>
      </c>
      <c r="O328" t="s">
        <v>159</v>
      </c>
      <c r="P328" t="s">
        <v>159</v>
      </c>
      <c r="Q328" t="s">
        <v>159</v>
      </c>
    </row>
    <row r="329" spans="1:17">
      <c r="A329">
        <v>589.4</v>
      </c>
      <c r="B329">
        <v>581.29999999999995</v>
      </c>
      <c r="C329">
        <v>351</v>
      </c>
      <c r="D329">
        <v>290</v>
      </c>
      <c r="E329" t="s">
        <v>66</v>
      </c>
      <c r="F329" t="b">
        <v>0</v>
      </c>
      <c r="G329" t="b">
        <v>0</v>
      </c>
      <c r="H329">
        <v>1.7</v>
      </c>
      <c r="I329" t="s">
        <v>159</v>
      </c>
      <c r="J329" t="s">
        <v>159</v>
      </c>
      <c r="K329" t="s">
        <v>159</v>
      </c>
      <c r="L329" t="s">
        <v>159</v>
      </c>
      <c r="M329" t="s">
        <v>159</v>
      </c>
      <c r="N329" t="s">
        <v>159</v>
      </c>
      <c r="O329" t="s">
        <v>159</v>
      </c>
      <c r="P329" t="s">
        <v>159</v>
      </c>
      <c r="Q329" t="s">
        <v>159</v>
      </c>
    </row>
    <row r="330" spans="1:17">
      <c r="A330">
        <v>591.29999999999995</v>
      </c>
      <c r="B330">
        <v>583.20000000000005</v>
      </c>
      <c r="C330">
        <v>353</v>
      </c>
      <c r="D330">
        <v>291</v>
      </c>
      <c r="E330" t="s">
        <v>66</v>
      </c>
      <c r="F330" t="b">
        <v>0</v>
      </c>
      <c r="G330" t="b">
        <v>0</v>
      </c>
      <c r="H330">
        <v>1.9</v>
      </c>
      <c r="I330" t="s">
        <v>159</v>
      </c>
      <c r="J330" t="s">
        <v>159</v>
      </c>
      <c r="K330" t="s">
        <v>159</v>
      </c>
      <c r="L330" t="s">
        <v>159</v>
      </c>
      <c r="M330" t="s">
        <v>159</v>
      </c>
      <c r="N330" t="s">
        <v>159</v>
      </c>
      <c r="O330" t="s">
        <v>159</v>
      </c>
      <c r="P330" t="s">
        <v>159</v>
      </c>
      <c r="Q330" t="s">
        <v>159</v>
      </c>
    </row>
    <row r="331" spans="1:17">
      <c r="A331">
        <v>593.9</v>
      </c>
      <c r="B331">
        <v>585.70000000000005</v>
      </c>
      <c r="C331">
        <v>355</v>
      </c>
      <c r="D331">
        <v>292</v>
      </c>
      <c r="E331" t="s">
        <v>66</v>
      </c>
      <c r="F331" t="b">
        <v>0</v>
      </c>
      <c r="G331" t="b">
        <v>0</v>
      </c>
      <c r="H331">
        <v>2.6</v>
      </c>
      <c r="I331" t="s">
        <v>159</v>
      </c>
      <c r="J331" t="s">
        <v>159</v>
      </c>
      <c r="K331" t="s">
        <v>159</v>
      </c>
      <c r="L331" t="s">
        <v>159</v>
      </c>
      <c r="M331" t="s">
        <v>159</v>
      </c>
      <c r="N331" t="s">
        <v>159</v>
      </c>
      <c r="O331" t="s">
        <v>159</v>
      </c>
      <c r="P331" t="s">
        <v>159</v>
      </c>
      <c r="Q331" t="s">
        <v>159</v>
      </c>
    </row>
    <row r="332" spans="1:17">
      <c r="A332">
        <v>595.5</v>
      </c>
      <c r="B332">
        <v>587.4</v>
      </c>
      <c r="C332">
        <v>356</v>
      </c>
      <c r="D332">
        <v>293</v>
      </c>
      <c r="E332" t="s">
        <v>66</v>
      </c>
      <c r="F332" t="b">
        <v>0</v>
      </c>
      <c r="G332" t="b">
        <v>0</v>
      </c>
      <c r="H332">
        <v>1.6</v>
      </c>
      <c r="I332" t="s">
        <v>159</v>
      </c>
      <c r="J332" t="s">
        <v>159</v>
      </c>
      <c r="K332" t="s">
        <v>159</v>
      </c>
      <c r="L332" t="s">
        <v>159</v>
      </c>
      <c r="M332" t="s">
        <v>159</v>
      </c>
      <c r="N332" t="s">
        <v>159</v>
      </c>
      <c r="O332" t="s">
        <v>159</v>
      </c>
      <c r="P332" t="s">
        <v>159</v>
      </c>
      <c r="Q332" t="s">
        <v>159</v>
      </c>
    </row>
    <row r="333" spans="1:17">
      <c r="A333">
        <v>605.1</v>
      </c>
      <c r="B333">
        <v>596.9</v>
      </c>
      <c r="C333">
        <v>363</v>
      </c>
      <c r="D333">
        <v>300</v>
      </c>
      <c r="E333" t="s">
        <v>66</v>
      </c>
      <c r="F333" t="b">
        <v>0</v>
      </c>
      <c r="G333" t="b">
        <v>1</v>
      </c>
      <c r="H333">
        <v>9.6</v>
      </c>
      <c r="I333">
        <v>4.4850000000000003</v>
      </c>
      <c r="J333">
        <v>0.90200000000000002</v>
      </c>
      <c r="K333">
        <v>3.42</v>
      </c>
      <c r="L333">
        <v>6.7850000000000001</v>
      </c>
      <c r="M333">
        <v>12.9</v>
      </c>
      <c r="N333">
        <v>21.95</v>
      </c>
      <c r="O333">
        <v>15.145</v>
      </c>
      <c r="P333">
        <v>83.88</v>
      </c>
      <c r="Q333">
        <v>0.98</v>
      </c>
    </row>
    <row r="334" spans="1:17">
      <c r="A334">
        <v>607.20000000000005</v>
      </c>
      <c r="B334">
        <v>599.1</v>
      </c>
      <c r="C334">
        <v>364</v>
      </c>
      <c r="D334">
        <v>301</v>
      </c>
      <c r="E334" t="s">
        <v>66</v>
      </c>
      <c r="F334" t="b">
        <v>0</v>
      </c>
      <c r="G334" t="b">
        <v>0</v>
      </c>
      <c r="H334">
        <v>2.2000000000000002</v>
      </c>
      <c r="I334">
        <v>4.4850000000000003</v>
      </c>
      <c r="J334">
        <v>0.90200000000000002</v>
      </c>
      <c r="K334">
        <v>3.42</v>
      </c>
      <c r="L334">
        <v>6.7850000000000001</v>
      </c>
      <c r="M334">
        <v>12.9</v>
      </c>
      <c r="N334">
        <v>21.95</v>
      </c>
      <c r="O334">
        <v>15.145</v>
      </c>
      <c r="P334">
        <v>83.88</v>
      </c>
      <c r="Q334">
        <v>0.98</v>
      </c>
    </row>
    <row r="335" spans="1:17">
      <c r="A335">
        <v>609.1</v>
      </c>
      <c r="B335">
        <v>601</v>
      </c>
      <c r="C335">
        <v>366</v>
      </c>
      <c r="D335">
        <v>302</v>
      </c>
      <c r="E335" t="s">
        <v>66</v>
      </c>
      <c r="F335" t="b">
        <v>0</v>
      </c>
      <c r="G335" t="b">
        <v>0</v>
      </c>
      <c r="H335">
        <v>1.8</v>
      </c>
      <c r="I335">
        <v>4.4850000000000003</v>
      </c>
      <c r="J335">
        <v>0.90200000000000002</v>
      </c>
      <c r="K335">
        <v>3.42</v>
      </c>
      <c r="L335">
        <v>6.7850000000000001</v>
      </c>
      <c r="M335">
        <v>12.9</v>
      </c>
      <c r="N335">
        <v>21.95</v>
      </c>
      <c r="O335">
        <v>15.145</v>
      </c>
      <c r="P335">
        <v>83.88</v>
      </c>
      <c r="Q335">
        <v>0.98</v>
      </c>
    </row>
    <row r="336" spans="1:17">
      <c r="A336">
        <v>611.20000000000005</v>
      </c>
      <c r="B336">
        <v>603.1</v>
      </c>
      <c r="C336">
        <v>367</v>
      </c>
      <c r="D336">
        <v>303</v>
      </c>
      <c r="E336" t="s">
        <v>66</v>
      </c>
      <c r="F336" t="b">
        <v>0</v>
      </c>
      <c r="G336" t="b">
        <v>0</v>
      </c>
      <c r="H336">
        <v>2.2000000000000002</v>
      </c>
      <c r="I336">
        <v>4.4850000000000003</v>
      </c>
      <c r="J336">
        <v>0.90200000000000002</v>
      </c>
      <c r="K336">
        <v>3.42</v>
      </c>
      <c r="L336">
        <v>6.7850000000000001</v>
      </c>
      <c r="M336">
        <v>12.9</v>
      </c>
      <c r="N336">
        <v>21.95</v>
      </c>
      <c r="O336">
        <v>15.145</v>
      </c>
      <c r="P336">
        <v>83.88</v>
      </c>
      <c r="Q336">
        <v>0.98</v>
      </c>
    </row>
    <row r="337" spans="1:17">
      <c r="A337">
        <v>613.79999999999995</v>
      </c>
      <c r="B337">
        <v>605.70000000000005</v>
      </c>
      <c r="C337">
        <v>369</v>
      </c>
      <c r="D337">
        <v>304</v>
      </c>
      <c r="E337" t="s">
        <v>66</v>
      </c>
      <c r="F337" t="b">
        <v>0</v>
      </c>
      <c r="G337" t="b">
        <v>0</v>
      </c>
      <c r="H337">
        <v>2.6</v>
      </c>
      <c r="I337">
        <v>4.4850000000000003</v>
      </c>
      <c r="J337">
        <v>0.90200000000000002</v>
      </c>
      <c r="K337">
        <v>3.42</v>
      </c>
      <c r="L337">
        <v>6.7850000000000001</v>
      </c>
      <c r="M337">
        <v>12.9</v>
      </c>
      <c r="N337">
        <v>21.95</v>
      </c>
      <c r="O337">
        <v>15.145</v>
      </c>
      <c r="P337">
        <v>83.88</v>
      </c>
      <c r="Q337">
        <v>0.98</v>
      </c>
    </row>
    <row r="338" spans="1:17">
      <c r="A338">
        <v>615.1</v>
      </c>
      <c r="B338">
        <v>606.9</v>
      </c>
      <c r="C338">
        <v>370</v>
      </c>
      <c r="D338">
        <v>305</v>
      </c>
      <c r="E338" t="s">
        <v>66</v>
      </c>
      <c r="F338" t="b">
        <v>0</v>
      </c>
      <c r="G338" t="b">
        <v>0</v>
      </c>
      <c r="H338">
        <v>1.3</v>
      </c>
      <c r="I338">
        <v>4.4850000000000003</v>
      </c>
      <c r="J338">
        <v>0.90200000000000002</v>
      </c>
      <c r="K338">
        <v>3.42</v>
      </c>
      <c r="L338">
        <v>6.7850000000000001</v>
      </c>
      <c r="M338">
        <v>12.9</v>
      </c>
      <c r="N338">
        <v>21.95</v>
      </c>
      <c r="O338">
        <v>15.145</v>
      </c>
      <c r="P338">
        <v>83.88</v>
      </c>
      <c r="Q338">
        <v>0.98</v>
      </c>
    </row>
    <row r="339" spans="1:17">
      <c r="A339">
        <v>616.4</v>
      </c>
      <c r="B339">
        <v>608.20000000000005</v>
      </c>
      <c r="C339">
        <v>371</v>
      </c>
      <c r="D339">
        <v>306</v>
      </c>
      <c r="E339" t="s">
        <v>66</v>
      </c>
      <c r="F339" t="b">
        <v>0</v>
      </c>
      <c r="G339" t="b">
        <v>0</v>
      </c>
      <c r="H339">
        <v>1.3</v>
      </c>
      <c r="I339">
        <v>4.4850000000000003</v>
      </c>
      <c r="J339">
        <v>0.90200000000000002</v>
      </c>
      <c r="K339">
        <v>3.42</v>
      </c>
      <c r="L339">
        <v>6.7850000000000001</v>
      </c>
      <c r="M339">
        <v>12.9</v>
      </c>
      <c r="N339">
        <v>21.95</v>
      </c>
      <c r="O339">
        <v>15.145</v>
      </c>
      <c r="P339">
        <v>83.88</v>
      </c>
      <c r="Q339">
        <v>0.98</v>
      </c>
    </row>
    <row r="340" spans="1:17">
      <c r="A340">
        <v>617.70000000000005</v>
      </c>
      <c r="B340">
        <v>609.5</v>
      </c>
      <c r="C340">
        <v>372</v>
      </c>
      <c r="D340">
        <v>307</v>
      </c>
      <c r="E340" t="s">
        <v>66</v>
      </c>
      <c r="F340" t="b">
        <v>0</v>
      </c>
      <c r="G340" t="b">
        <v>0</v>
      </c>
      <c r="H340">
        <v>1.3</v>
      </c>
      <c r="I340">
        <v>4.4850000000000003</v>
      </c>
      <c r="J340">
        <v>0.90200000000000002</v>
      </c>
      <c r="K340">
        <v>3.42</v>
      </c>
      <c r="L340">
        <v>6.7850000000000001</v>
      </c>
      <c r="M340">
        <v>12.9</v>
      </c>
      <c r="N340">
        <v>21.95</v>
      </c>
      <c r="O340">
        <v>15.145</v>
      </c>
      <c r="P340">
        <v>83.88</v>
      </c>
      <c r="Q340">
        <v>0.98</v>
      </c>
    </row>
    <row r="341" spans="1:17">
      <c r="A341">
        <v>618.6</v>
      </c>
      <c r="B341">
        <v>610.4</v>
      </c>
      <c r="C341">
        <v>372</v>
      </c>
      <c r="D341">
        <v>308</v>
      </c>
      <c r="E341" t="s">
        <v>66</v>
      </c>
      <c r="F341" t="b">
        <v>0</v>
      </c>
      <c r="G341" t="b">
        <v>0</v>
      </c>
      <c r="H341">
        <v>0.9</v>
      </c>
      <c r="I341">
        <v>4.4850000000000003</v>
      </c>
      <c r="J341">
        <v>0.90200000000000002</v>
      </c>
      <c r="K341">
        <v>3.42</v>
      </c>
      <c r="L341">
        <v>6.7850000000000001</v>
      </c>
      <c r="M341">
        <v>12.9</v>
      </c>
      <c r="N341">
        <v>21.95</v>
      </c>
      <c r="O341">
        <v>15.145</v>
      </c>
      <c r="P341">
        <v>83.88</v>
      </c>
      <c r="Q341">
        <v>0.98</v>
      </c>
    </row>
    <row r="342" spans="1:17">
      <c r="A342">
        <v>619.6</v>
      </c>
      <c r="B342">
        <v>611.5</v>
      </c>
      <c r="C342">
        <v>373</v>
      </c>
      <c r="D342">
        <v>309</v>
      </c>
      <c r="E342" t="s">
        <v>66</v>
      </c>
      <c r="F342" t="b">
        <v>0</v>
      </c>
      <c r="G342" t="b">
        <v>0</v>
      </c>
      <c r="H342">
        <v>1</v>
      </c>
      <c r="I342">
        <v>4.4850000000000003</v>
      </c>
      <c r="J342">
        <v>0.90200000000000002</v>
      </c>
      <c r="K342">
        <v>3.42</v>
      </c>
      <c r="L342">
        <v>6.7850000000000001</v>
      </c>
      <c r="M342">
        <v>12.9</v>
      </c>
      <c r="N342">
        <v>21.95</v>
      </c>
      <c r="O342">
        <v>15.145</v>
      </c>
      <c r="P342">
        <v>83.88</v>
      </c>
      <c r="Q342">
        <v>0.98</v>
      </c>
    </row>
    <row r="343" spans="1:17">
      <c r="A343">
        <v>620.70000000000005</v>
      </c>
      <c r="B343">
        <v>612.6</v>
      </c>
      <c r="C343">
        <v>374</v>
      </c>
      <c r="D343">
        <v>310</v>
      </c>
      <c r="E343" t="s">
        <v>66</v>
      </c>
      <c r="F343" t="b">
        <v>0</v>
      </c>
      <c r="G343" t="b">
        <v>0</v>
      </c>
      <c r="H343">
        <v>1.1000000000000001</v>
      </c>
      <c r="I343" t="s">
        <v>159</v>
      </c>
      <c r="J343" t="s">
        <v>159</v>
      </c>
      <c r="K343" t="s">
        <v>159</v>
      </c>
      <c r="L343" t="s">
        <v>159</v>
      </c>
      <c r="M343" t="s">
        <v>159</v>
      </c>
      <c r="N343" t="s">
        <v>159</v>
      </c>
      <c r="O343" t="s">
        <v>159</v>
      </c>
      <c r="P343" t="s">
        <v>159</v>
      </c>
      <c r="Q343" t="s">
        <v>159</v>
      </c>
    </row>
    <row r="344" spans="1:17">
      <c r="A344">
        <v>621.79999999999995</v>
      </c>
      <c r="B344">
        <v>613.70000000000005</v>
      </c>
      <c r="C344">
        <v>375</v>
      </c>
      <c r="D344">
        <v>311</v>
      </c>
      <c r="E344" t="s">
        <v>66</v>
      </c>
      <c r="F344" t="b">
        <v>0</v>
      </c>
      <c r="G344" t="b">
        <v>0</v>
      </c>
      <c r="H344">
        <v>1.1000000000000001</v>
      </c>
      <c r="I344" t="s">
        <v>159</v>
      </c>
      <c r="J344" t="s">
        <v>159</v>
      </c>
      <c r="K344" t="s">
        <v>159</v>
      </c>
      <c r="L344" t="s">
        <v>159</v>
      </c>
      <c r="M344" t="s">
        <v>159</v>
      </c>
      <c r="N344" t="s">
        <v>159</v>
      </c>
      <c r="O344" t="s">
        <v>159</v>
      </c>
      <c r="P344" t="s">
        <v>159</v>
      </c>
      <c r="Q344" t="s">
        <v>159</v>
      </c>
    </row>
    <row r="345" spans="1:17">
      <c r="A345">
        <v>623.29999999999995</v>
      </c>
      <c r="B345">
        <v>615.20000000000005</v>
      </c>
      <c r="C345">
        <v>376</v>
      </c>
      <c r="D345">
        <v>312</v>
      </c>
      <c r="E345" t="s">
        <v>66</v>
      </c>
      <c r="F345" t="b">
        <v>0</v>
      </c>
      <c r="G345" t="b">
        <v>0</v>
      </c>
      <c r="H345">
        <v>1.5</v>
      </c>
      <c r="I345" t="s">
        <v>159</v>
      </c>
      <c r="J345" t="s">
        <v>159</v>
      </c>
      <c r="K345" t="s">
        <v>159</v>
      </c>
      <c r="L345" t="s">
        <v>159</v>
      </c>
      <c r="M345" t="s">
        <v>159</v>
      </c>
      <c r="N345" t="s">
        <v>159</v>
      </c>
      <c r="O345" t="s">
        <v>159</v>
      </c>
      <c r="P345" t="s">
        <v>159</v>
      </c>
      <c r="Q345" t="s">
        <v>159</v>
      </c>
    </row>
    <row r="346" spans="1:17">
      <c r="A346">
        <v>624.79999999999995</v>
      </c>
      <c r="B346">
        <v>616.70000000000005</v>
      </c>
      <c r="C346">
        <v>377</v>
      </c>
      <c r="D346">
        <v>313</v>
      </c>
      <c r="E346" t="s">
        <v>66</v>
      </c>
      <c r="F346" t="b">
        <v>0</v>
      </c>
      <c r="G346" t="b">
        <v>0</v>
      </c>
      <c r="H346">
        <v>1.5</v>
      </c>
      <c r="I346" t="s">
        <v>159</v>
      </c>
      <c r="J346" t="s">
        <v>159</v>
      </c>
      <c r="K346" t="s">
        <v>159</v>
      </c>
      <c r="L346" t="s">
        <v>159</v>
      </c>
      <c r="M346" t="s">
        <v>159</v>
      </c>
      <c r="N346" t="s">
        <v>159</v>
      </c>
      <c r="O346" t="s">
        <v>159</v>
      </c>
      <c r="P346" t="s">
        <v>159</v>
      </c>
      <c r="Q346" t="s">
        <v>159</v>
      </c>
    </row>
    <row r="347" spans="1:17">
      <c r="A347">
        <v>626.5</v>
      </c>
      <c r="B347">
        <v>618.4</v>
      </c>
      <c r="C347">
        <v>378</v>
      </c>
      <c r="D347">
        <v>314</v>
      </c>
      <c r="E347" t="s">
        <v>66</v>
      </c>
      <c r="F347" t="b">
        <v>0</v>
      </c>
      <c r="G347" t="b">
        <v>0</v>
      </c>
      <c r="H347">
        <v>1.7</v>
      </c>
      <c r="I347" t="s">
        <v>159</v>
      </c>
      <c r="J347" t="s">
        <v>159</v>
      </c>
      <c r="K347" t="s">
        <v>159</v>
      </c>
      <c r="L347" t="s">
        <v>159</v>
      </c>
      <c r="M347" t="s">
        <v>159</v>
      </c>
      <c r="N347" t="s">
        <v>159</v>
      </c>
      <c r="O347" t="s">
        <v>159</v>
      </c>
      <c r="P347" t="s">
        <v>159</v>
      </c>
      <c r="Q347" t="s">
        <v>159</v>
      </c>
    </row>
    <row r="348" spans="1:17">
      <c r="A348">
        <v>627.9</v>
      </c>
      <c r="B348">
        <v>619.79999999999995</v>
      </c>
      <c r="C348">
        <v>379</v>
      </c>
      <c r="D348">
        <v>315</v>
      </c>
      <c r="E348" t="s">
        <v>66</v>
      </c>
      <c r="F348" t="b">
        <v>0</v>
      </c>
      <c r="G348" t="b">
        <v>0</v>
      </c>
      <c r="H348">
        <v>1.4</v>
      </c>
      <c r="I348" t="s">
        <v>159</v>
      </c>
      <c r="J348" t="s">
        <v>159</v>
      </c>
      <c r="K348" t="s">
        <v>159</v>
      </c>
      <c r="L348" t="s">
        <v>159</v>
      </c>
      <c r="M348" t="s">
        <v>159</v>
      </c>
      <c r="N348" t="s">
        <v>159</v>
      </c>
      <c r="O348" t="s">
        <v>159</v>
      </c>
      <c r="P348" t="s">
        <v>159</v>
      </c>
      <c r="Q348" t="s">
        <v>159</v>
      </c>
    </row>
    <row r="349" spans="1:17">
      <c r="A349">
        <v>629.1</v>
      </c>
      <c r="B349">
        <v>621</v>
      </c>
      <c r="C349">
        <v>380</v>
      </c>
      <c r="D349">
        <v>316</v>
      </c>
      <c r="E349" t="s">
        <v>66</v>
      </c>
      <c r="F349" t="b">
        <v>0</v>
      </c>
      <c r="G349" t="b">
        <v>0</v>
      </c>
      <c r="H349">
        <v>1.2</v>
      </c>
      <c r="I349" t="s">
        <v>159</v>
      </c>
      <c r="J349" t="s">
        <v>159</v>
      </c>
      <c r="K349" t="s">
        <v>159</v>
      </c>
      <c r="L349" t="s">
        <v>159</v>
      </c>
      <c r="M349" t="s">
        <v>159</v>
      </c>
      <c r="N349" t="s">
        <v>159</v>
      </c>
      <c r="O349" t="s">
        <v>159</v>
      </c>
      <c r="P349" t="s">
        <v>159</v>
      </c>
      <c r="Q349" t="s">
        <v>159</v>
      </c>
    </row>
    <row r="350" spans="1:17">
      <c r="A350">
        <v>630.1</v>
      </c>
      <c r="B350">
        <v>622</v>
      </c>
      <c r="C350">
        <v>381</v>
      </c>
      <c r="D350">
        <v>317</v>
      </c>
      <c r="E350" t="s">
        <v>66</v>
      </c>
      <c r="F350" t="b">
        <v>0</v>
      </c>
      <c r="G350" t="b">
        <v>0</v>
      </c>
      <c r="H350">
        <v>1</v>
      </c>
      <c r="I350" t="s">
        <v>159</v>
      </c>
      <c r="J350" t="s">
        <v>159</v>
      </c>
      <c r="K350" t="s">
        <v>159</v>
      </c>
      <c r="L350" t="s">
        <v>159</v>
      </c>
      <c r="M350" t="s">
        <v>159</v>
      </c>
      <c r="N350" t="s">
        <v>159</v>
      </c>
      <c r="O350" t="s">
        <v>159</v>
      </c>
      <c r="P350" t="s">
        <v>159</v>
      </c>
      <c r="Q350" t="s">
        <v>159</v>
      </c>
    </row>
    <row r="351" spans="1:17">
      <c r="A351">
        <v>631.6</v>
      </c>
      <c r="B351">
        <v>623.4</v>
      </c>
      <c r="C351">
        <v>382</v>
      </c>
      <c r="D351">
        <v>318</v>
      </c>
      <c r="E351" t="s">
        <v>66</v>
      </c>
      <c r="F351" t="b">
        <v>0</v>
      </c>
      <c r="G351" t="b">
        <v>0</v>
      </c>
      <c r="H351">
        <v>1.4</v>
      </c>
      <c r="I351" t="s">
        <v>159</v>
      </c>
      <c r="J351" t="s">
        <v>159</v>
      </c>
      <c r="K351" t="s">
        <v>159</v>
      </c>
      <c r="L351" t="s">
        <v>159</v>
      </c>
      <c r="M351" t="s">
        <v>159</v>
      </c>
      <c r="N351" t="s">
        <v>159</v>
      </c>
      <c r="O351" t="s">
        <v>159</v>
      </c>
      <c r="P351" t="s">
        <v>159</v>
      </c>
      <c r="Q351" t="s">
        <v>159</v>
      </c>
    </row>
    <row r="352" spans="1:17">
      <c r="A352">
        <v>633</v>
      </c>
      <c r="B352">
        <v>624.9</v>
      </c>
      <c r="C352">
        <v>383</v>
      </c>
      <c r="D352">
        <v>319</v>
      </c>
      <c r="E352" t="s">
        <v>66</v>
      </c>
      <c r="F352" t="b">
        <v>0</v>
      </c>
      <c r="G352" t="b">
        <v>0</v>
      </c>
      <c r="H352">
        <v>1.5</v>
      </c>
      <c r="I352" t="s">
        <v>159</v>
      </c>
      <c r="J352" t="s">
        <v>159</v>
      </c>
      <c r="K352" t="s">
        <v>159</v>
      </c>
      <c r="L352" t="s">
        <v>159</v>
      </c>
      <c r="M352" t="s">
        <v>159</v>
      </c>
      <c r="N352" t="s">
        <v>159</v>
      </c>
      <c r="O352" t="s">
        <v>159</v>
      </c>
      <c r="P352" t="s">
        <v>159</v>
      </c>
      <c r="Q352" t="s">
        <v>159</v>
      </c>
    </row>
    <row r="353" spans="1:17">
      <c r="A353">
        <v>634.29999999999995</v>
      </c>
      <c r="B353">
        <v>626.20000000000005</v>
      </c>
      <c r="C353">
        <v>384</v>
      </c>
      <c r="D353">
        <v>320</v>
      </c>
      <c r="E353" t="s">
        <v>66</v>
      </c>
      <c r="F353" t="b">
        <v>0</v>
      </c>
      <c r="G353" t="b">
        <v>0</v>
      </c>
      <c r="H353">
        <v>1.3</v>
      </c>
      <c r="I353" t="s">
        <v>159</v>
      </c>
      <c r="J353" t="s">
        <v>159</v>
      </c>
      <c r="K353" t="s">
        <v>159</v>
      </c>
      <c r="L353" t="s">
        <v>159</v>
      </c>
      <c r="M353" t="s">
        <v>159</v>
      </c>
      <c r="N353" t="s">
        <v>159</v>
      </c>
      <c r="O353" t="s">
        <v>159</v>
      </c>
      <c r="P353" t="s">
        <v>159</v>
      </c>
      <c r="Q353" t="s">
        <v>159</v>
      </c>
    </row>
    <row r="354" spans="1:17">
      <c r="A354">
        <v>635.29999999999995</v>
      </c>
      <c r="B354">
        <v>627.20000000000005</v>
      </c>
      <c r="C354">
        <v>384</v>
      </c>
      <c r="D354">
        <v>321</v>
      </c>
      <c r="E354" t="s">
        <v>66</v>
      </c>
      <c r="F354" t="b">
        <v>0</v>
      </c>
      <c r="G354" t="b">
        <v>0</v>
      </c>
      <c r="H354">
        <v>1</v>
      </c>
      <c r="I354" t="s">
        <v>159</v>
      </c>
      <c r="J354">
        <v>3.83</v>
      </c>
      <c r="K354">
        <v>5.64</v>
      </c>
      <c r="L354">
        <v>8.98</v>
      </c>
      <c r="M354">
        <v>14.1</v>
      </c>
      <c r="N354">
        <v>20.7</v>
      </c>
      <c r="O354">
        <v>0.27</v>
      </c>
      <c r="P354">
        <v>99.73</v>
      </c>
      <c r="Q354">
        <v>0</v>
      </c>
    </row>
    <row r="355" spans="1:17">
      <c r="A355">
        <v>637</v>
      </c>
      <c r="B355">
        <v>628.9</v>
      </c>
      <c r="C355">
        <v>386</v>
      </c>
      <c r="D355">
        <v>322</v>
      </c>
      <c r="E355" t="s">
        <v>66</v>
      </c>
      <c r="F355" t="b">
        <v>0</v>
      </c>
      <c r="G355" t="b">
        <v>0</v>
      </c>
      <c r="H355">
        <v>1.7</v>
      </c>
      <c r="I355" t="s">
        <v>159</v>
      </c>
      <c r="J355">
        <v>3.83</v>
      </c>
      <c r="K355">
        <v>5.64</v>
      </c>
      <c r="L355">
        <v>8.98</v>
      </c>
      <c r="M355">
        <v>14.1</v>
      </c>
      <c r="N355">
        <v>20.7</v>
      </c>
      <c r="O355">
        <v>0.27</v>
      </c>
      <c r="P355">
        <v>99.73</v>
      </c>
      <c r="Q355">
        <v>0</v>
      </c>
    </row>
    <row r="356" spans="1:17">
      <c r="A356">
        <v>638.6</v>
      </c>
      <c r="B356">
        <v>630.5</v>
      </c>
      <c r="C356">
        <v>387</v>
      </c>
      <c r="D356">
        <v>323</v>
      </c>
      <c r="E356" t="s">
        <v>66</v>
      </c>
      <c r="F356" t="b">
        <v>0</v>
      </c>
      <c r="G356" t="b">
        <v>0</v>
      </c>
      <c r="H356">
        <v>1.6</v>
      </c>
      <c r="I356" t="s">
        <v>159</v>
      </c>
      <c r="J356">
        <v>3.83</v>
      </c>
      <c r="K356">
        <v>5.64</v>
      </c>
      <c r="L356">
        <v>8.98</v>
      </c>
      <c r="M356">
        <v>14.1</v>
      </c>
      <c r="N356">
        <v>20.7</v>
      </c>
      <c r="O356">
        <v>0.27</v>
      </c>
      <c r="P356">
        <v>99.73</v>
      </c>
      <c r="Q356">
        <v>0</v>
      </c>
    </row>
    <row r="357" spans="1:17">
      <c r="A357">
        <v>640.20000000000005</v>
      </c>
      <c r="B357">
        <v>632.1</v>
      </c>
      <c r="C357">
        <v>388</v>
      </c>
      <c r="D357">
        <v>324</v>
      </c>
      <c r="E357" t="s">
        <v>66</v>
      </c>
      <c r="F357" t="b">
        <v>0</v>
      </c>
      <c r="G357" t="b">
        <v>0</v>
      </c>
      <c r="H357">
        <v>1.6</v>
      </c>
      <c r="I357" t="s">
        <v>159</v>
      </c>
      <c r="J357">
        <v>3.83</v>
      </c>
      <c r="K357">
        <v>5.64</v>
      </c>
      <c r="L357">
        <v>8.98</v>
      </c>
      <c r="M357">
        <v>14.1</v>
      </c>
      <c r="N357">
        <v>20.7</v>
      </c>
      <c r="O357">
        <v>0.27</v>
      </c>
      <c r="P357">
        <v>99.73</v>
      </c>
      <c r="Q357">
        <v>0</v>
      </c>
    </row>
    <row r="358" spans="1:17">
      <c r="A358">
        <v>642</v>
      </c>
      <c r="B358">
        <v>633.79999999999995</v>
      </c>
      <c r="C358">
        <v>389</v>
      </c>
      <c r="D358">
        <v>325</v>
      </c>
      <c r="E358" t="s">
        <v>66</v>
      </c>
      <c r="F358" t="b">
        <v>0</v>
      </c>
      <c r="G358" t="b">
        <v>0</v>
      </c>
      <c r="H358">
        <v>1.8</v>
      </c>
      <c r="I358" t="s">
        <v>159</v>
      </c>
      <c r="J358">
        <v>3.83</v>
      </c>
      <c r="K358">
        <v>5.64</v>
      </c>
      <c r="L358">
        <v>8.98</v>
      </c>
      <c r="M358">
        <v>14.1</v>
      </c>
      <c r="N358">
        <v>20.7</v>
      </c>
      <c r="O358">
        <v>0.27</v>
      </c>
      <c r="P358">
        <v>99.73</v>
      </c>
      <c r="Q358">
        <v>0</v>
      </c>
    </row>
    <row r="359" spans="1:17">
      <c r="A359">
        <v>644.29999999999995</v>
      </c>
      <c r="B359">
        <v>636.1</v>
      </c>
      <c r="C359">
        <v>391</v>
      </c>
      <c r="D359">
        <v>326</v>
      </c>
      <c r="E359" t="s">
        <v>66</v>
      </c>
      <c r="F359" t="b">
        <v>0</v>
      </c>
      <c r="G359" t="b">
        <v>0</v>
      </c>
      <c r="H359">
        <v>2.2999999999999998</v>
      </c>
      <c r="I359" t="s">
        <v>159</v>
      </c>
      <c r="J359">
        <v>3.83</v>
      </c>
      <c r="K359">
        <v>5.64</v>
      </c>
      <c r="L359">
        <v>8.98</v>
      </c>
      <c r="M359">
        <v>14.1</v>
      </c>
      <c r="N359">
        <v>20.7</v>
      </c>
      <c r="O359">
        <v>0.27</v>
      </c>
      <c r="P359">
        <v>99.73</v>
      </c>
      <c r="Q359">
        <v>0</v>
      </c>
    </row>
    <row r="360" spans="1:17">
      <c r="A360">
        <v>645.9</v>
      </c>
      <c r="B360">
        <v>637.70000000000005</v>
      </c>
      <c r="C360">
        <v>392</v>
      </c>
      <c r="D360">
        <v>327</v>
      </c>
      <c r="E360" t="s">
        <v>66</v>
      </c>
      <c r="F360" t="b">
        <v>0</v>
      </c>
      <c r="G360" t="b">
        <v>0</v>
      </c>
      <c r="H360">
        <v>1.6</v>
      </c>
      <c r="I360" t="s">
        <v>159</v>
      </c>
      <c r="J360">
        <v>3.83</v>
      </c>
      <c r="K360">
        <v>5.64</v>
      </c>
      <c r="L360">
        <v>8.98</v>
      </c>
      <c r="M360">
        <v>14.1</v>
      </c>
      <c r="N360">
        <v>20.7</v>
      </c>
      <c r="O360">
        <v>0.27</v>
      </c>
      <c r="P360">
        <v>99.73</v>
      </c>
      <c r="Q360">
        <v>0</v>
      </c>
    </row>
    <row r="361" spans="1:17">
      <c r="A361">
        <v>647.6</v>
      </c>
      <c r="B361">
        <v>639.5</v>
      </c>
      <c r="C361">
        <v>393</v>
      </c>
      <c r="D361">
        <v>328</v>
      </c>
      <c r="E361" t="s">
        <v>66</v>
      </c>
      <c r="F361" t="b">
        <v>0</v>
      </c>
      <c r="G361" t="b">
        <v>0</v>
      </c>
      <c r="H361">
        <v>1.7</v>
      </c>
      <c r="I361" t="s">
        <v>159</v>
      </c>
      <c r="J361">
        <v>3.83</v>
      </c>
      <c r="K361">
        <v>5.64</v>
      </c>
      <c r="L361">
        <v>8.98</v>
      </c>
      <c r="M361">
        <v>14.1</v>
      </c>
      <c r="N361">
        <v>20.7</v>
      </c>
      <c r="O361">
        <v>0.27</v>
      </c>
      <c r="P361">
        <v>99.73</v>
      </c>
      <c r="Q361">
        <v>0</v>
      </c>
    </row>
    <row r="362" spans="1:17">
      <c r="A362">
        <v>649</v>
      </c>
      <c r="B362">
        <v>640.9</v>
      </c>
      <c r="C362">
        <v>394</v>
      </c>
      <c r="D362">
        <v>329</v>
      </c>
      <c r="E362" t="s">
        <v>66</v>
      </c>
      <c r="F362" t="b">
        <v>0</v>
      </c>
      <c r="G362" t="b">
        <v>0</v>
      </c>
      <c r="H362">
        <v>1.4</v>
      </c>
      <c r="I362" t="s">
        <v>159</v>
      </c>
      <c r="J362">
        <v>3.83</v>
      </c>
      <c r="K362">
        <v>5.64</v>
      </c>
      <c r="L362">
        <v>8.98</v>
      </c>
      <c r="M362">
        <v>14.1</v>
      </c>
      <c r="N362">
        <v>20.7</v>
      </c>
      <c r="O362">
        <v>0.27</v>
      </c>
      <c r="P362">
        <v>99.73</v>
      </c>
      <c r="Q362">
        <v>0</v>
      </c>
    </row>
    <row r="363" spans="1:17">
      <c r="A363">
        <v>650.1</v>
      </c>
      <c r="B363">
        <v>642</v>
      </c>
      <c r="C363">
        <v>395</v>
      </c>
      <c r="D363">
        <v>330</v>
      </c>
      <c r="E363" t="s">
        <v>66</v>
      </c>
      <c r="F363" t="b">
        <v>0</v>
      </c>
      <c r="G363" t="b">
        <v>0</v>
      </c>
      <c r="H363">
        <v>1.1000000000000001</v>
      </c>
      <c r="I363">
        <v>4.2519999999999998</v>
      </c>
      <c r="J363">
        <v>3.83</v>
      </c>
      <c r="K363">
        <v>5.64</v>
      </c>
      <c r="L363">
        <v>8.98</v>
      </c>
      <c r="M363">
        <v>14.1</v>
      </c>
      <c r="N363">
        <v>20.7</v>
      </c>
      <c r="O363">
        <v>0.27</v>
      </c>
      <c r="P363">
        <v>99.73</v>
      </c>
      <c r="Q363">
        <v>0</v>
      </c>
    </row>
    <row r="364" spans="1:17">
      <c r="A364">
        <v>651.5</v>
      </c>
      <c r="B364">
        <v>643.4</v>
      </c>
      <c r="C364">
        <v>396</v>
      </c>
      <c r="D364">
        <v>331</v>
      </c>
      <c r="E364" t="s">
        <v>66</v>
      </c>
      <c r="F364" t="b">
        <v>0</v>
      </c>
      <c r="G364" t="b">
        <v>0</v>
      </c>
      <c r="H364">
        <v>1.4</v>
      </c>
      <c r="I364">
        <v>4.2519999999999998</v>
      </c>
      <c r="J364">
        <v>3.83</v>
      </c>
      <c r="K364">
        <v>5.64</v>
      </c>
      <c r="L364">
        <v>8.98</v>
      </c>
      <c r="M364">
        <v>14.1</v>
      </c>
      <c r="N364">
        <v>20.7</v>
      </c>
      <c r="O364">
        <v>0.27</v>
      </c>
      <c r="P364">
        <v>99.73</v>
      </c>
      <c r="Q364">
        <v>0</v>
      </c>
    </row>
    <row r="365" spans="1:17">
      <c r="A365">
        <v>652.4</v>
      </c>
      <c r="B365">
        <v>644.29999999999995</v>
      </c>
      <c r="C365">
        <v>397</v>
      </c>
      <c r="D365">
        <v>332</v>
      </c>
      <c r="E365" t="s">
        <v>66</v>
      </c>
      <c r="F365" t="b">
        <v>0</v>
      </c>
      <c r="G365" t="b">
        <v>0</v>
      </c>
      <c r="H365">
        <v>0.9</v>
      </c>
      <c r="I365">
        <v>4.2519999999999998</v>
      </c>
      <c r="J365">
        <v>3.83</v>
      </c>
      <c r="K365">
        <v>5.64</v>
      </c>
      <c r="L365">
        <v>8.98</v>
      </c>
      <c r="M365">
        <v>14.1</v>
      </c>
      <c r="N365">
        <v>20.7</v>
      </c>
      <c r="O365">
        <v>0.27</v>
      </c>
      <c r="P365">
        <v>99.73</v>
      </c>
      <c r="Q365">
        <v>0</v>
      </c>
    </row>
    <row r="366" spans="1:17">
      <c r="A366">
        <v>654.29999999999995</v>
      </c>
      <c r="B366">
        <v>646.1</v>
      </c>
      <c r="C366">
        <v>398</v>
      </c>
      <c r="D366">
        <v>333</v>
      </c>
      <c r="E366" t="s">
        <v>66</v>
      </c>
      <c r="F366" t="b">
        <v>0</v>
      </c>
      <c r="G366" t="b">
        <v>0</v>
      </c>
      <c r="H366">
        <v>1.8</v>
      </c>
      <c r="I366">
        <v>4.2519999999999998</v>
      </c>
      <c r="J366">
        <v>3.83</v>
      </c>
      <c r="K366">
        <v>5.64</v>
      </c>
      <c r="L366">
        <v>8.98</v>
      </c>
      <c r="M366">
        <v>14.1</v>
      </c>
      <c r="N366">
        <v>20.7</v>
      </c>
      <c r="O366">
        <v>0.27</v>
      </c>
      <c r="P366">
        <v>99.73</v>
      </c>
      <c r="Q366">
        <v>0</v>
      </c>
    </row>
    <row r="367" spans="1:17">
      <c r="A367">
        <v>656.6</v>
      </c>
      <c r="B367">
        <v>648.5</v>
      </c>
      <c r="C367">
        <v>400</v>
      </c>
      <c r="D367">
        <v>334</v>
      </c>
      <c r="E367" t="s">
        <v>66</v>
      </c>
      <c r="F367" t="b">
        <v>0</v>
      </c>
      <c r="G367" t="b">
        <v>0</v>
      </c>
      <c r="H367">
        <v>2.4</v>
      </c>
      <c r="I367">
        <v>4.2519999999999998</v>
      </c>
      <c r="J367" t="s">
        <v>159</v>
      </c>
      <c r="K367" t="s">
        <v>159</v>
      </c>
      <c r="L367" t="s">
        <v>159</v>
      </c>
      <c r="M367" t="s">
        <v>159</v>
      </c>
      <c r="N367" t="s">
        <v>159</v>
      </c>
      <c r="O367" t="s">
        <v>159</v>
      </c>
      <c r="P367" t="s">
        <v>159</v>
      </c>
      <c r="Q367" t="s">
        <v>159</v>
      </c>
    </row>
    <row r="368" spans="1:17">
      <c r="A368">
        <v>658.6</v>
      </c>
      <c r="B368">
        <v>650.5</v>
      </c>
      <c r="C368">
        <v>401</v>
      </c>
      <c r="D368">
        <v>335</v>
      </c>
      <c r="E368" t="s">
        <v>66</v>
      </c>
      <c r="F368" t="b">
        <v>0</v>
      </c>
      <c r="G368" t="b">
        <v>0</v>
      </c>
      <c r="H368">
        <v>2</v>
      </c>
      <c r="I368">
        <v>4.2519999999999998</v>
      </c>
      <c r="J368" t="s">
        <v>159</v>
      </c>
      <c r="K368" t="s">
        <v>159</v>
      </c>
      <c r="L368" t="s">
        <v>159</v>
      </c>
      <c r="M368" t="s">
        <v>159</v>
      </c>
      <c r="N368" t="s">
        <v>159</v>
      </c>
      <c r="O368" t="s">
        <v>159</v>
      </c>
      <c r="P368" t="s">
        <v>159</v>
      </c>
      <c r="Q368" t="s">
        <v>159</v>
      </c>
    </row>
    <row r="369" spans="1:17">
      <c r="A369">
        <v>659.9</v>
      </c>
      <c r="B369">
        <v>651.70000000000005</v>
      </c>
      <c r="C369">
        <v>402</v>
      </c>
      <c r="D369">
        <v>336</v>
      </c>
      <c r="E369" t="s">
        <v>66</v>
      </c>
      <c r="F369" t="b">
        <v>0</v>
      </c>
      <c r="G369" t="b">
        <v>0</v>
      </c>
      <c r="H369">
        <v>1.2</v>
      </c>
      <c r="I369">
        <v>4.2519999999999998</v>
      </c>
      <c r="J369" t="s">
        <v>159</v>
      </c>
      <c r="K369" t="s">
        <v>159</v>
      </c>
      <c r="L369" t="s">
        <v>159</v>
      </c>
      <c r="M369" t="s">
        <v>159</v>
      </c>
      <c r="N369" t="s">
        <v>159</v>
      </c>
      <c r="O369" t="s">
        <v>159</v>
      </c>
      <c r="P369" t="s">
        <v>159</v>
      </c>
      <c r="Q369" t="s">
        <v>159</v>
      </c>
    </row>
    <row r="370" spans="1:17">
      <c r="A370">
        <v>661.5</v>
      </c>
      <c r="B370">
        <v>653.4</v>
      </c>
      <c r="C370">
        <v>403</v>
      </c>
      <c r="D370">
        <v>337</v>
      </c>
      <c r="E370" t="s">
        <v>66</v>
      </c>
      <c r="F370" t="b">
        <v>0</v>
      </c>
      <c r="G370" t="b">
        <v>0</v>
      </c>
      <c r="H370">
        <v>1.6</v>
      </c>
      <c r="I370">
        <v>4.2519999999999998</v>
      </c>
      <c r="J370" t="s">
        <v>159</v>
      </c>
      <c r="K370" t="s">
        <v>159</v>
      </c>
      <c r="L370" t="s">
        <v>159</v>
      </c>
      <c r="M370" t="s">
        <v>159</v>
      </c>
      <c r="N370" t="s">
        <v>159</v>
      </c>
      <c r="O370" t="s">
        <v>159</v>
      </c>
      <c r="P370" t="s">
        <v>159</v>
      </c>
      <c r="Q370" t="s">
        <v>159</v>
      </c>
    </row>
    <row r="371" spans="1:17">
      <c r="A371">
        <v>662.6</v>
      </c>
      <c r="B371">
        <v>654.4</v>
      </c>
      <c r="C371">
        <v>404</v>
      </c>
      <c r="D371">
        <v>338</v>
      </c>
      <c r="E371" t="s">
        <v>66</v>
      </c>
      <c r="F371" t="b">
        <v>0</v>
      </c>
      <c r="G371" t="b">
        <v>0</v>
      </c>
      <c r="H371">
        <v>1.1000000000000001</v>
      </c>
      <c r="I371">
        <v>4.2519999999999998</v>
      </c>
      <c r="J371" t="s">
        <v>159</v>
      </c>
      <c r="K371" t="s">
        <v>159</v>
      </c>
      <c r="L371" t="s">
        <v>159</v>
      </c>
      <c r="M371" t="s">
        <v>159</v>
      </c>
      <c r="N371" t="s">
        <v>159</v>
      </c>
      <c r="O371" t="s">
        <v>159</v>
      </c>
      <c r="P371" t="s">
        <v>159</v>
      </c>
      <c r="Q371" t="s">
        <v>159</v>
      </c>
    </row>
    <row r="372" spans="1:17">
      <c r="A372">
        <v>664.1</v>
      </c>
      <c r="B372">
        <v>655.9</v>
      </c>
      <c r="C372">
        <v>405</v>
      </c>
      <c r="D372">
        <v>339</v>
      </c>
      <c r="E372" t="s">
        <v>66</v>
      </c>
      <c r="F372" t="b">
        <v>0</v>
      </c>
      <c r="G372" t="b">
        <v>0</v>
      </c>
      <c r="H372">
        <v>1.5</v>
      </c>
      <c r="I372">
        <v>4.2519999999999998</v>
      </c>
      <c r="J372" t="s">
        <v>159</v>
      </c>
      <c r="K372" t="s">
        <v>159</v>
      </c>
      <c r="L372" t="s">
        <v>159</v>
      </c>
      <c r="M372" t="s">
        <v>159</v>
      </c>
      <c r="N372" t="s">
        <v>159</v>
      </c>
      <c r="O372" t="s">
        <v>159</v>
      </c>
      <c r="P372" t="s">
        <v>159</v>
      </c>
      <c r="Q372" t="s">
        <v>159</v>
      </c>
    </row>
    <row r="373" spans="1:17">
      <c r="A373">
        <v>666.1</v>
      </c>
      <c r="B373">
        <v>658</v>
      </c>
      <c r="C373">
        <v>407</v>
      </c>
      <c r="D373">
        <v>340</v>
      </c>
      <c r="E373" t="s">
        <v>66</v>
      </c>
      <c r="F373" t="b">
        <v>0</v>
      </c>
      <c r="G373" t="b">
        <v>0</v>
      </c>
      <c r="H373">
        <v>2</v>
      </c>
      <c r="I373">
        <v>4.2519999999999998</v>
      </c>
      <c r="J373" t="s">
        <v>159</v>
      </c>
      <c r="K373" t="s">
        <v>159</v>
      </c>
      <c r="L373" t="s">
        <v>159</v>
      </c>
      <c r="M373" t="s">
        <v>159</v>
      </c>
      <c r="N373" t="s">
        <v>159</v>
      </c>
      <c r="O373" t="s">
        <v>159</v>
      </c>
      <c r="P373" t="s">
        <v>159</v>
      </c>
      <c r="Q373" t="s">
        <v>159</v>
      </c>
    </row>
    <row r="374" spans="1:17">
      <c r="A374">
        <v>667.1</v>
      </c>
      <c r="B374">
        <v>659</v>
      </c>
      <c r="C374">
        <v>407</v>
      </c>
      <c r="D374">
        <v>341</v>
      </c>
      <c r="E374" t="s">
        <v>66</v>
      </c>
      <c r="F374" t="b">
        <v>0</v>
      </c>
      <c r="G374" t="b">
        <v>0</v>
      </c>
      <c r="H374">
        <v>1</v>
      </c>
      <c r="I374">
        <v>4.2519999999999998</v>
      </c>
      <c r="J374" t="s">
        <v>159</v>
      </c>
      <c r="K374" t="s">
        <v>159</v>
      </c>
      <c r="L374" t="s">
        <v>159</v>
      </c>
      <c r="M374" t="s">
        <v>159</v>
      </c>
      <c r="N374" t="s">
        <v>159</v>
      </c>
      <c r="O374" t="s">
        <v>159</v>
      </c>
      <c r="P374" t="s">
        <v>159</v>
      </c>
      <c r="Q374" t="s">
        <v>159</v>
      </c>
    </row>
    <row r="375" spans="1:17">
      <c r="A375">
        <v>668.8</v>
      </c>
      <c r="B375">
        <v>660.7</v>
      </c>
      <c r="C375">
        <v>409</v>
      </c>
      <c r="D375">
        <v>342</v>
      </c>
      <c r="E375" t="s">
        <v>66</v>
      </c>
      <c r="F375" t="b">
        <v>0</v>
      </c>
      <c r="G375" t="b">
        <v>0</v>
      </c>
      <c r="H375">
        <v>1.7</v>
      </c>
      <c r="I375">
        <v>4.2519999999999998</v>
      </c>
      <c r="J375" t="s">
        <v>159</v>
      </c>
      <c r="K375" t="s">
        <v>159</v>
      </c>
      <c r="L375" t="s">
        <v>159</v>
      </c>
      <c r="M375" t="s">
        <v>159</v>
      </c>
      <c r="N375" t="s">
        <v>159</v>
      </c>
      <c r="O375" t="s">
        <v>159</v>
      </c>
      <c r="P375" t="s">
        <v>159</v>
      </c>
      <c r="Q375" t="s">
        <v>159</v>
      </c>
    </row>
    <row r="376" spans="1:17">
      <c r="A376">
        <v>670.5</v>
      </c>
      <c r="B376">
        <v>662.4</v>
      </c>
      <c r="C376">
        <v>410</v>
      </c>
      <c r="D376">
        <v>343</v>
      </c>
      <c r="E376" t="s">
        <v>66</v>
      </c>
      <c r="F376" t="b">
        <v>0</v>
      </c>
      <c r="G376" t="b">
        <v>0</v>
      </c>
      <c r="H376">
        <v>1.7</v>
      </c>
      <c r="I376" t="s">
        <v>159</v>
      </c>
      <c r="J376" t="s">
        <v>159</v>
      </c>
      <c r="K376" t="s">
        <v>159</v>
      </c>
      <c r="L376" t="s">
        <v>159</v>
      </c>
      <c r="M376" t="s">
        <v>159</v>
      </c>
      <c r="N376" t="s">
        <v>159</v>
      </c>
      <c r="O376" t="s">
        <v>159</v>
      </c>
      <c r="P376" t="s">
        <v>159</v>
      </c>
      <c r="Q376" t="s">
        <v>159</v>
      </c>
    </row>
    <row r="377" spans="1:17">
      <c r="A377">
        <v>672.5</v>
      </c>
      <c r="B377">
        <v>664.4</v>
      </c>
      <c r="C377">
        <v>411</v>
      </c>
      <c r="D377">
        <v>344</v>
      </c>
      <c r="E377" t="s">
        <v>66</v>
      </c>
      <c r="F377" t="b">
        <v>0</v>
      </c>
      <c r="G377" t="b">
        <v>0</v>
      </c>
      <c r="H377">
        <v>2</v>
      </c>
      <c r="I377" t="s">
        <v>159</v>
      </c>
      <c r="J377" t="s">
        <v>159</v>
      </c>
      <c r="K377" t="s">
        <v>159</v>
      </c>
      <c r="L377" t="s">
        <v>159</v>
      </c>
      <c r="M377" t="s">
        <v>159</v>
      </c>
      <c r="N377" t="s">
        <v>159</v>
      </c>
      <c r="O377" t="s">
        <v>159</v>
      </c>
      <c r="P377" t="s">
        <v>159</v>
      </c>
      <c r="Q377" t="s">
        <v>159</v>
      </c>
    </row>
    <row r="378" spans="1:17">
      <c r="A378">
        <v>673.8</v>
      </c>
      <c r="B378">
        <v>665.6</v>
      </c>
      <c r="C378">
        <v>412</v>
      </c>
      <c r="D378">
        <v>345</v>
      </c>
      <c r="E378" t="s">
        <v>66</v>
      </c>
      <c r="F378" t="b">
        <v>0</v>
      </c>
      <c r="G378" t="b">
        <v>0</v>
      </c>
      <c r="H378">
        <v>1.2</v>
      </c>
      <c r="I378" t="s">
        <v>159</v>
      </c>
      <c r="J378" t="s">
        <v>159</v>
      </c>
      <c r="K378" t="s">
        <v>159</v>
      </c>
      <c r="L378" t="s">
        <v>159</v>
      </c>
      <c r="M378" t="s">
        <v>159</v>
      </c>
      <c r="N378" t="s">
        <v>159</v>
      </c>
      <c r="O378" t="s">
        <v>159</v>
      </c>
      <c r="P378" t="s">
        <v>159</v>
      </c>
      <c r="Q378" t="s">
        <v>159</v>
      </c>
    </row>
    <row r="379" spans="1:17">
      <c r="A379">
        <v>675.7</v>
      </c>
      <c r="B379">
        <v>667.5</v>
      </c>
      <c r="C379">
        <v>414</v>
      </c>
      <c r="D379">
        <v>346</v>
      </c>
      <c r="E379" t="s">
        <v>66</v>
      </c>
      <c r="F379" t="b">
        <v>0</v>
      </c>
      <c r="G379" t="b">
        <v>0</v>
      </c>
      <c r="H379">
        <v>1.9</v>
      </c>
      <c r="I379" t="s">
        <v>159</v>
      </c>
      <c r="J379" t="s">
        <v>159</v>
      </c>
      <c r="K379" t="s">
        <v>159</v>
      </c>
      <c r="L379" t="s">
        <v>159</v>
      </c>
      <c r="M379" t="s">
        <v>159</v>
      </c>
      <c r="N379" t="s">
        <v>159</v>
      </c>
      <c r="O379" t="s">
        <v>159</v>
      </c>
      <c r="P379" t="s">
        <v>159</v>
      </c>
      <c r="Q379" t="s">
        <v>159</v>
      </c>
    </row>
    <row r="380" spans="1:17">
      <c r="A380">
        <v>676.8</v>
      </c>
      <c r="B380">
        <v>668.7</v>
      </c>
      <c r="C380">
        <v>414</v>
      </c>
      <c r="D380">
        <v>347</v>
      </c>
      <c r="E380" t="s">
        <v>66</v>
      </c>
      <c r="F380" t="b">
        <v>0</v>
      </c>
      <c r="G380" t="b">
        <v>0</v>
      </c>
      <c r="H380">
        <v>1.2</v>
      </c>
      <c r="I380" t="s">
        <v>159</v>
      </c>
      <c r="J380" t="s">
        <v>159</v>
      </c>
      <c r="K380" t="s">
        <v>159</v>
      </c>
      <c r="L380" t="s">
        <v>159</v>
      </c>
      <c r="M380" t="s">
        <v>159</v>
      </c>
      <c r="N380" t="s">
        <v>159</v>
      </c>
      <c r="O380" t="s">
        <v>159</v>
      </c>
      <c r="P380" t="s">
        <v>159</v>
      </c>
      <c r="Q380" t="s">
        <v>159</v>
      </c>
    </row>
    <row r="381" spans="1:17">
      <c r="A381">
        <v>677.7</v>
      </c>
      <c r="B381">
        <v>669.5</v>
      </c>
      <c r="C381">
        <v>415</v>
      </c>
      <c r="D381">
        <v>348</v>
      </c>
      <c r="E381" t="s">
        <v>66</v>
      </c>
      <c r="F381" t="b">
        <v>0</v>
      </c>
      <c r="G381" t="b">
        <v>0</v>
      </c>
      <c r="H381">
        <v>0.8</v>
      </c>
      <c r="I381" t="s">
        <v>159</v>
      </c>
      <c r="J381" t="s">
        <v>159</v>
      </c>
      <c r="K381" t="s">
        <v>159</v>
      </c>
      <c r="L381" t="s">
        <v>159</v>
      </c>
      <c r="M381" t="s">
        <v>159</v>
      </c>
      <c r="N381" t="s">
        <v>159</v>
      </c>
      <c r="O381" t="s">
        <v>159</v>
      </c>
      <c r="P381" t="s">
        <v>159</v>
      </c>
      <c r="Q381" t="s">
        <v>159</v>
      </c>
    </row>
    <row r="382" spans="1:17">
      <c r="A382">
        <v>679</v>
      </c>
      <c r="B382">
        <v>670.9</v>
      </c>
      <c r="C382">
        <v>416</v>
      </c>
      <c r="D382">
        <v>349</v>
      </c>
      <c r="E382" t="s">
        <v>66</v>
      </c>
      <c r="F382" t="b">
        <v>0</v>
      </c>
      <c r="G382" t="b">
        <v>0</v>
      </c>
      <c r="H382">
        <v>1.4</v>
      </c>
      <c r="I382" t="s">
        <v>159</v>
      </c>
      <c r="J382" t="s">
        <v>159</v>
      </c>
      <c r="K382" t="s">
        <v>159</v>
      </c>
      <c r="L382" t="s">
        <v>159</v>
      </c>
      <c r="M382" t="s">
        <v>159</v>
      </c>
      <c r="N382" t="s">
        <v>159</v>
      </c>
      <c r="O382" t="s">
        <v>159</v>
      </c>
      <c r="P382" t="s">
        <v>159</v>
      </c>
      <c r="Q382" t="s">
        <v>159</v>
      </c>
    </row>
    <row r="383" spans="1:17">
      <c r="A383">
        <v>680.9</v>
      </c>
      <c r="B383">
        <v>672.8</v>
      </c>
      <c r="C383">
        <v>417</v>
      </c>
      <c r="D383">
        <v>350</v>
      </c>
      <c r="E383" t="s">
        <v>66</v>
      </c>
      <c r="F383" t="b">
        <v>0</v>
      </c>
      <c r="G383" t="b">
        <v>0</v>
      </c>
      <c r="H383">
        <v>1.9</v>
      </c>
      <c r="I383" t="s">
        <v>159</v>
      </c>
      <c r="J383" t="s">
        <v>159</v>
      </c>
      <c r="K383" t="s">
        <v>159</v>
      </c>
      <c r="L383" t="s">
        <v>159</v>
      </c>
      <c r="M383" t="s">
        <v>159</v>
      </c>
      <c r="N383" t="s">
        <v>159</v>
      </c>
      <c r="O383" t="s">
        <v>159</v>
      </c>
      <c r="P383" t="s">
        <v>159</v>
      </c>
      <c r="Q383" t="s">
        <v>159</v>
      </c>
    </row>
    <row r="384" spans="1:17">
      <c r="A384">
        <v>682.5</v>
      </c>
      <c r="B384">
        <v>674.4</v>
      </c>
      <c r="C384">
        <v>418</v>
      </c>
      <c r="D384">
        <v>351</v>
      </c>
      <c r="E384" t="s">
        <v>66</v>
      </c>
      <c r="F384" t="b">
        <v>0</v>
      </c>
      <c r="G384" t="b">
        <v>0</v>
      </c>
      <c r="H384">
        <v>1.6</v>
      </c>
      <c r="I384" t="s">
        <v>159</v>
      </c>
      <c r="J384" t="s">
        <v>159</v>
      </c>
      <c r="K384" t="s">
        <v>159</v>
      </c>
      <c r="L384" t="s">
        <v>159</v>
      </c>
      <c r="M384" t="s">
        <v>159</v>
      </c>
      <c r="N384" t="s">
        <v>159</v>
      </c>
      <c r="O384" t="s">
        <v>159</v>
      </c>
      <c r="P384" t="s">
        <v>159</v>
      </c>
      <c r="Q384" t="s">
        <v>159</v>
      </c>
    </row>
    <row r="385" spans="1:17">
      <c r="A385">
        <v>683.6</v>
      </c>
      <c r="B385">
        <v>675.5</v>
      </c>
      <c r="C385">
        <v>419</v>
      </c>
      <c r="D385">
        <v>352</v>
      </c>
      <c r="E385" t="s">
        <v>66</v>
      </c>
      <c r="F385" t="b">
        <v>0</v>
      </c>
      <c r="G385" t="b">
        <v>0</v>
      </c>
      <c r="H385">
        <v>1.1000000000000001</v>
      </c>
      <c r="I385" t="s">
        <v>159</v>
      </c>
      <c r="J385" t="s">
        <v>159</v>
      </c>
      <c r="K385" t="s">
        <v>159</v>
      </c>
      <c r="L385" t="s">
        <v>159</v>
      </c>
      <c r="M385" t="s">
        <v>159</v>
      </c>
      <c r="N385" t="s">
        <v>159</v>
      </c>
      <c r="O385" t="s">
        <v>159</v>
      </c>
      <c r="P385" t="s">
        <v>159</v>
      </c>
      <c r="Q385" t="s">
        <v>159</v>
      </c>
    </row>
    <row r="386" spans="1:17">
      <c r="A386">
        <v>685.5</v>
      </c>
      <c r="B386">
        <v>677.4</v>
      </c>
      <c r="C386">
        <v>421</v>
      </c>
      <c r="D386">
        <v>353</v>
      </c>
      <c r="E386" t="s">
        <v>66</v>
      </c>
      <c r="F386" t="b">
        <v>0</v>
      </c>
      <c r="G386" t="b">
        <v>0</v>
      </c>
      <c r="H386">
        <v>1.9</v>
      </c>
      <c r="I386" t="s">
        <v>159</v>
      </c>
      <c r="J386" t="s">
        <v>159</v>
      </c>
      <c r="K386" t="s">
        <v>159</v>
      </c>
      <c r="L386" t="s">
        <v>159</v>
      </c>
      <c r="M386" t="s">
        <v>159</v>
      </c>
      <c r="N386" t="s">
        <v>159</v>
      </c>
      <c r="O386" t="s">
        <v>159</v>
      </c>
      <c r="P386" t="s">
        <v>159</v>
      </c>
      <c r="Q386" t="s">
        <v>159</v>
      </c>
    </row>
    <row r="387" spans="1:17">
      <c r="A387">
        <v>687.4</v>
      </c>
      <c r="B387">
        <v>679.3</v>
      </c>
      <c r="C387">
        <v>422</v>
      </c>
      <c r="D387">
        <v>354</v>
      </c>
      <c r="E387" t="s">
        <v>66</v>
      </c>
      <c r="F387" t="b">
        <v>0</v>
      </c>
      <c r="G387" t="b">
        <v>0</v>
      </c>
      <c r="H387">
        <v>1.9</v>
      </c>
      <c r="I387" t="s">
        <v>159</v>
      </c>
      <c r="J387" t="s">
        <v>159</v>
      </c>
      <c r="K387" t="s">
        <v>159</v>
      </c>
      <c r="L387" t="s">
        <v>159</v>
      </c>
      <c r="M387" t="s">
        <v>159</v>
      </c>
      <c r="N387" t="s">
        <v>159</v>
      </c>
      <c r="O387" t="s">
        <v>159</v>
      </c>
      <c r="P387" t="s">
        <v>159</v>
      </c>
      <c r="Q387" t="s">
        <v>159</v>
      </c>
    </row>
    <row r="388" spans="1:17">
      <c r="A388">
        <v>689.3</v>
      </c>
      <c r="B388">
        <v>681.2</v>
      </c>
      <c r="C388">
        <v>423</v>
      </c>
      <c r="D388">
        <v>355</v>
      </c>
      <c r="E388" t="s">
        <v>66</v>
      </c>
      <c r="F388" t="b">
        <v>0</v>
      </c>
      <c r="G388" t="b">
        <v>0</v>
      </c>
      <c r="H388">
        <v>1.9</v>
      </c>
      <c r="I388" t="s">
        <v>159</v>
      </c>
      <c r="J388" t="s">
        <v>159</v>
      </c>
      <c r="K388" t="s">
        <v>159</v>
      </c>
      <c r="L388" t="s">
        <v>159</v>
      </c>
      <c r="M388" t="s">
        <v>159</v>
      </c>
      <c r="N388" t="s">
        <v>159</v>
      </c>
      <c r="O388" t="s">
        <v>159</v>
      </c>
      <c r="P388" t="s">
        <v>159</v>
      </c>
      <c r="Q388" t="s">
        <v>159</v>
      </c>
    </row>
    <row r="389" spans="1:17">
      <c r="A389">
        <v>690.9</v>
      </c>
      <c r="B389">
        <v>682.8</v>
      </c>
      <c r="C389">
        <v>424</v>
      </c>
      <c r="D389">
        <v>356</v>
      </c>
      <c r="E389" t="s">
        <v>66</v>
      </c>
      <c r="F389" t="b">
        <v>0</v>
      </c>
      <c r="G389" t="b">
        <v>0</v>
      </c>
      <c r="H389">
        <v>1.6</v>
      </c>
      <c r="I389" t="s">
        <v>159</v>
      </c>
      <c r="J389" t="s">
        <v>159</v>
      </c>
      <c r="K389" t="s">
        <v>159</v>
      </c>
      <c r="L389" t="s">
        <v>159</v>
      </c>
      <c r="M389" t="s">
        <v>159</v>
      </c>
      <c r="N389" t="s">
        <v>159</v>
      </c>
      <c r="O389" t="s">
        <v>159</v>
      </c>
      <c r="P389" t="s">
        <v>159</v>
      </c>
      <c r="Q389" t="s">
        <v>159</v>
      </c>
    </row>
    <row r="390" spans="1:17">
      <c r="A390">
        <v>692.8</v>
      </c>
      <c r="B390">
        <v>684.7</v>
      </c>
      <c r="C390">
        <v>426</v>
      </c>
      <c r="D390">
        <v>357</v>
      </c>
      <c r="E390" t="s">
        <v>66</v>
      </c>
      <c r="F390" t="b">
        <v>0</v>
      </c>
      <c r="G390" t="b">
        <v>0</v>
      </c>
      <c r="H390">
        <v>1.9</v>
      </c>
      <c r="I390" t="s">
        <v>159</v>
      </c>
      <c r="J390" t="s">
        <v>159</v>
      </c>
      <c r="K390" t="s">
        <v>159</v>
      </c>
      <c r="L390" t="s">
        <v>159</v>
      </c>
      <c r="M390" t="s">
        <v>159</v>
      </c>
      <c r="N390" t="s">
        <v>159</v>
      </c>
      <c r="O390" t="s">
        <v>159</v>
      </c>
      <c r="P390" t="s">
        <v>159</v>
      </c>
      <c r="Q390" t="s">
        <v>159</v>
      </c>
    </row>
    <row r="391" spans="1:17">
      <c r="A391">
        <v>694.6</v>
      </c>
      <c r="B391">
        <v>686.5</v>
      </c>
      <c r="C391">
        <v>427</v>
      </c>
      <c r="D391">
        <v>358</v>
      </c>
      <c r="E391" t="s">
        <v>66</v>
      </c>
      <c r="F391" t="b">
        <v>0</v>
      </c>
      <c r="G391" t="b">
        <v>0</v>
      </c>
      <c r="H391">
        <v>1.8</v>
      </c>
      <c r="I391" t="s">
        <v>159</v>
      </c>
      <c r="J391" t="s">
        <v>159</v>
      </c>
      <c r="K391" t="s">
        <v>159</v>
      </c>
      <c r="L391" t="s">
        <v>159</v>
      </c>
      <c r="M391" t="s">
        <v>159</v>
      </c>
      <c r="N391" t="s">
        <v>159</v>
      </c>
      <c r="O391" t="s">
        <v>159</v>
      </c>
      <c r="P391" t="s">
        <v>159</v>
      </c>
      <c r="Q391" t="s">
        <v>159</v>
      </c>
    </row>
    <row r="392" spans="1:17">
      <c r="A392">
        <v>696.6</v>
      </c>
      <c r="B392">
        <v>688.4</v>
      </c>
      <c r="C392">
        <v>429</v>
      </c>
      <c r="D392">
        <v>359</v>
      </c>
      <c r="E392" t="s">
        <v>66</v>
      </c>
      <c r="F392" t="b">
        <v>0</v>
      </c>
      <c r="G392" t="b">
        <v>0</v>
      </c>
      <c r="H392">
        <v>2</v>
      </c>
      <c r="I392" t="s">
        <v>159</v>
      </c>
      <c r="J392" t="s">
        <v>159</v>
      </c>
      <c r="K392" t="s">
        <v>159</v>
      </c>
      <c r="L392" t="s">
        <v>159</v>
      </c>
      <c r="M392" t="s">
        <v>159</v>
      </c>
      <c r="N392" t="s">
        <v>159</v>
      </c>
      <c r="O392" t="s">
        <v>159</v>
      </c>
      <c r="P392" t="s">
        <v>159</v>
      </c>
      <c r="Q392" t="s">
        <v>159</v>
      </c>
    </row>
    <row r="393" spans="1:17">
      <c r="A393">
        <v>697.8</v>
      </c>
      <c r="B393">
        <v>689.7</v>
      </c>
      <c r="C393">
        <v>429</v>
      </c>
      <c r="D393">
        <v>360</v>
      </c>
      <c r="E393" t="s">
        <v>66</v>
      </c>
      <c r="F393" t="b">
        <v>0</v>
      </c>
      <c r="G393" t="b">
        <v>0</v>
      </c>
      <c r="H393">
        <v>1.3</v>
      </c>
      <c r="I393" t="s">
        <v>159</v>
      </c>
      <c r="J393" t="s">
        <v>159</v>
      </c>
      <c r="K393" t="s">
        <v>159</v>
      </c>
      <c r="L393" t="s">
        <v>159</v>
      </c>
      <c r="M393" t="s">
        <v>159</v>
      </c>
      <c r="N393" t="s">
        <v>159</v>
      </c>
      <c r="O393" t="s">
        <v>159</v>
      </c>
      <c r="P393" t="s">
        <v>159</v>
      </c>
      <c r="Q393" t="s">
        <v>159</v>
      </c>
    </row>
    <row r="394" spans="1:17">
      <c r="A394">
        <v>699</v>
      </c>
      <c r="B394">
        <v>690.9</v>
      </c>
      <c r="C394">
        <v>430</v>
      </c>
      <c r="D394">
        <v>361</v>
      </c>
      <c r="E394" t="s">
        <v>66</v>
      </c>
      <c r="F394" t="b">
        <v>0</v>
      </c>
      <c r="G394" t="b">
        <v>0</v>
      </c>
      <c r="H394">
        <v>1.2</v>
      </c>
      <c r="I394" t="s">
        <v>159</v>
      </c>
      <c r="J394" t="s">
        <v>159</v>
      </c>
      <c r="K394" t="s">
        <v>159</v>
      </c>
      <c r="L394" t="s">
        <v>159</v>
      </c>
      <c r="M394" t="s">
        <v>159</v>
      </c>
      <c r="N394" t="s">
        <v>159</v>
      </c>
      <c r="O394" t="s">
        <v>159</v>
      </c>
      <c r="P394" t="s">
        <v>159</v>
      </c>
      <c r="Q394" t="s">
        <v>159</v>
      </c>
    </row>
    <row r="395" spans="1:17">
      <c r="A395">
        <v>700.3</v>
      </c>
      <c r="B395">
        <v>692.2</v>
      </c>
      <c r="C395">
        <v>431</v>
      </c>
      <c r="D395">
        <v>362</v>
      </c>
      <c r="E395" t="s">
        <v>66</v>
      </c>
      <c r="F395" t="b">
        <v>0</v>
      </c>
      <c r="G395" t="b">
        <v>0</v>
      </c>
      <c r="H395">
        <v>1.3</v>
      </c>
      <c r="I395">
        <v>4.391</v>
      </c>
      <c r="J395">
        <v>0.78300000000000003</v>
      </c>
      <c r="K395">
        <v>2.93</v>
      </c>
      <c r="L395">
        <v>5.98</v>
      </c>
      <c r="M395">
        <v>11.6</v>
      </c>
      <c r="N395">
        <v>20.2</v>
      </c>
      <c r="O395">
        <v>18.37</v>
      </c>
      <c r="P395">
        <v>81.47</v>
      </c>
      <c r="Q395">
        <v>0.16</v>
      </c>
    </row>
    <row r="396" spans="1:17">
      <c r="A396">
        <v>702.6</v>
      </c>
      <c r="B396">
        <v>694.5</v>
      </c>
      <c r="C396">
        <v>433</v>
      </c>
      <c r="D396">
        <v>363</v>
      </c>
      <c r="E396" t="s">
        <v>66</v>
      </c>
      <c r="F396" t="b">
        <v>0</v>
      </c>
      <c r="G396" t="b">
        <v>0</v>
      </c>
      <c r="H396">
        <v>2.4</v>
      </c>
      <c r="I396">
        <v>4.391</v>
      </c>
      <c r="J396">
        <v>0.78300000000000003</v>
      </c>
      <c r="K396">
        <v>2.93</v>
      </c>
      <c r="L396">
        <v>5.98</v>
      </c>
      <c r="M396">
        <v>11.6</v>
      </c>
      <c r="N396">
        <v>20.2</v>
      </c>
      <c r="O396">
        <v>18.37</v>
      </c>
      <c r="P396">
        <v>81.47</v>
      </c>
      <c r="Q396">
        <v>0.16</v>
      </c>
    </row>
    <row r="397" spans="1:17">
      <c r="A397">
        <v>703.5</v>
      </c>
      <c r="B397">
        <v>695.4</v>
      </c>
      <c r="C397">
        <v>434</v>
      </c>
      <c r="D397">
        <v>364</v>
      </c>
      <c r="E397" t="s">
        <v>66</v>
      </c>
      <c r="F397" t="b">
        <v>0</v>
      </c>
      <c r="G397" t="b">
        <v>0</v>
      </c>
      <c r="H397">
        <v>0.9</v>
      </c>
      <c r="I397">
        <v>4.391</v>
      </c>
      <c r="J397">
        <v>0.78300000000000003</v>
      </c>
      <c r="K397">
        <v>2.93</v>
      </c>
      <c r="L397">
        <v>5.98</v>
      </c>
      <c r="M397">
        <v>11.6</v>
      </c>
      <c r="N397">
        <v>20.2</v>
      </c>
      <c r="O397">
        <v>18.37</v>
      </c>
      <c r="P397">
        <v>81.47</v>
      </c>
      <c r="Q397">
        <v>0.16</v>
      </c>
    </row>
    <row r="398" spans="1:17">
      <c r="A398">
        <v>704.9</v>
      </c>
      <c r="B398">
        <v>696.8</v>
      </c>
      <c r="C398">
        <v>435</v>
      </c>
      <c r="D398">
        <v>365</v>
      </c>
      <c r="E398" t="s">
        <v>66</v>
      </c>
      <c r="F398" t="b">
        <v>0</v>
      </c>
      <c r="G398" t="b">
        <v>0</v>
      </c>
      <c r="H398">
        <v>1.4</v>
      </c>
      <c r="I398">
        <v>4.391</v>
      </c>
      <c r="J398">
        <v>0.78300000000000003</v>
      </c>
      <c r="K398">
        <v>2.93</v>
      </c>
      <c r="L398">
        <v>5.98</v>
      </c>
      <c r="M398">
        <v>11.6</v>
      </c>
      <c r="N398">
        <v>20.2</v>
      </c>
      <c r="O398">
        <v>18.37</v>
      </c>
      <c r="P398">
        <v>81.47</v>
      </c>
      <c r="Q398">
        <v>0.16</v>
      </c>
    </row>
    <row r="399" spans="1:17">
      <c r="A399">
        <v>708</v>
      </c>
      <c r="B399">
        <v>699.9</v>
      </c>
      <c r="C399">
        <v>437</v>
      </c>
      <c r="D399">
        <v>366</v>
      </c>
      <c r="E399" t="s">
        <v>66</v>
      </c>
      <c r="F399" t="b">
        <v>0</v>
      </c>
      <c r="G399" t="b">
        <v>0</v>
      </c>
      <c r="H399">
        <v>3.1</v>
      </c>
      <c r="I399">
        <v>4.391</v>
      </c>
      <c r="J399">
        <v>0.78300000000000003</v>
      </c>
      <c r="K399">
        <v>2.93</v>
      </c>
      <c r="L399">
        <v>5.98</v>
      </c>
      <c r="M399">
        <v>11.6</v>
      </c>
      <c r="N399">
        <v>20.2</v>
      </c>
      <c r="O399">
        <v>18.37</v>
      </c>
      <c r="P399">
        <v>81.47</v>
      </c>
      <c r="Q399">
        <v>0.16</v>
      </c>
    </row>
    <row r="400" spans="1:17">
      <c r="A400">
        <v>709.7</v>
      </c>
      <c r="B400">
        <v>701.6</v>
      </c>
      <c r="C400">
        <v>438</v>
      </c>
      <c r="D400">
        <v>367</v>
      </c>
      <c r="E400" t="s">
        <v>66</v>
      </c>
      <c r="F400" t="b">
        <v>0</v>
      </c>
      <c r="G400" t="b">
        <v>0</v>
      </c>
      <c r="H400">
        <v>1.7</v>
      </c>
      <c r="I400">
        <v>4.391</v>
      </c>
      <c r="J400">
        <v>0.78300000000000003</v>
      </c>
      <c r="K400">
        <v>2.93</v>
      </c>
      <c r="L400">
        <v>5.98</v>
      </c>
      <c r="M400">
        <v>11.6</v>
      </c>
      <c r="N400">
        <v>20.2</v>
      </c>
      <c r="O400">
        <v>18.37</v>
      </c>
      <c r="P400">
        <v>81.47</v>
      </c>
      <c r="Q400">
        <v>0.16</v>
      </c>
    </row>
    <row r="401" spans="1:17">
      <c r="A401">
        <v>711.2</v>
      </c>
      <c r="B401">
        <v>703</v>
      </c>
      <c r="C401">
        <v>439</v>
      </c>
      <c r="D401">
        <v>368</v>
      </c>
      <c r="E401" t="s">
        <v>66</v>
      </c>
      <c r="F401" t="b">
        <v>0</v>
      </c>
      <c r="G401" t="b">
        <v>0</v>
      </c>
      <c r="H401">
        <v>1.5</v>
      </c>
      <c r="I401">
        <v>4.391</v>
      </c>
      <c r="J401">
        <v>0.78300000000000003</v>
      </c>
      <c r="K401">
        <v>2.93</v>
      </c>
      <c r="L401">
        <v>5.98</v>
      </c>
      <c r="M401">
        <v>11.6</v>
      </c>
      <c r="N401">
        <v>20.2</v>
      </c>
      <c r="O401">
        <v>18.37</v>
      </c>
      <c r="P401">
        <v>81.47</v>
      </c>
      <c r="Q401">
        <v>0.16</v>
      </c>
    </row>
    <row r="402" spans="1:17">
      <c r="A402">
        <v>712.9</v>
      </c>
      <c r="B402">
        <v>704.8</v>
      </c>
      <c r="C402">
        <v>440</v>
      </c>
      <c r="D402">
        <v>369</v>
      </c>
      <c r="E402" t="s">
        <v>66</v>
      </c>
      <c r="F402" t="b">
        <v>0</v>
      </c>
      <c r="G402" t="b">
        <v>0</v>
      </c>
      <c r="H402">
        <v>1.7</v>
      </c>
      <c r="I402">
        <v>4.391</v>
      </c>
      <c r="J402">
        <v>0.78300000000000003</v>
      </c>
      <c r="K402">
        <v>2.93</v>
      </c>
      <c r="L402">
        <v>5.98</v>
      </c>
      <c r="M402">
        <v>11.6</v>
      </c>
      <c r="N402">
        <v>20.2</v>
      </c>
      <c r="O402">
        <v>18.37</v>
      </c>
      <c r="P402">
        <v>81.47</v>
      </c>
      <c r="Q402">
        <v>0.16</v>
      </c>
    </row>
    <row r="403" spans="1:17">
      <c r="A403">
        <v>714.3</v>
      </c>
      <c r="B403">
        <v>706.2</v>
      </c>
      <c r="C403">
        <v>441</v>
      </c>
      <c r="D403">
        <v>370</v>
      </c>
      <c r="E403" t="s">
        <v>66</v>
      </c>
      <c r="F403" t="b">
        <v>0</v>
      </c>
      <c r="G403" t="b">
        <v>0</v>
      </c>
      <c r="H403">
        <v>1.4</v>
      </c>
      <c r="I403">
        <v>4.391</v>
      </c>
      <c r="J403">
        <v>0.78300000000000003</v>
      </c>
      <c r="K403">
        <v>2.93</v>
      </c>
      <c r="L403">
        <v>5.98</v>
      </c>
      <c r="M403">
        <v>11.6</v>
      </c>
      <c r="N403">
        <v>20.2</v>
      </c>
      <c r="O403">
        <v>18.37</v>
      </c>
      <c r="P403">
        <v>81.47</v>
      </c>
      <c r="Q403">
        <v>0.16</v>
      </c>
    </row>
    <row r="404" spans="1:17">
      <c r="A404">
        <v>715.7</v>
      </c>
      <c r="B404">
        <v>707.6</v>
      </c>
      <c r="C404">
        <v>442</v>
      </c>
      <c r="D404">
        <v>371</v>
      </c>
      <c r="E404" t="s">
        <v>66</v>
      </c>
      <c r="F404" t="b">
        <v>0</v>
      </c>
      <c r="G404" t="b">
        <v>0</v>
      </c>
      <c r="H404">
        <v>1.4</v>
      </c>
      <c r="I404">
        <v>4.391</v>
      </c>
      <c r="J404">
        <v>0.78300000000000003</v>
      </c>
      <c r="K404">
        <v>2.93</v>
      </c>
      <c r="L404">
        <v>5.98</v>
      </c>
      <c r="M404">
        <v>11.6</v>
      </c>
      <c r="N404">
        <v>20.2</v>
      </c>
      <c r="O404">
        <v>18.37</v>
      </c>
      <c r="P404">
        <v>81.47</v>
      </c>
      <c r="Q404">
        <v>0.16</v>
      </c>
    </row>
    <row r="405" spans="1:17">
      <c r="A405">
        <v>717.6</v>
      </c>
      <c r="B405">
        <v>709.5</v>
      </c>
      <c r="C405">
        <v>444</v>
      </c>
      <c r="D405">
        <v>372</v>
      </c>
      <c r="E405" t="s">
        <v>66</v>
      </c>
      <c r="F405" t="b">
        <v>0</v>
      </c>
      <c r="G405" t="b">
        <v>0</v>
      </c>
      <c r="H405">
        <v>1.9</v>
      </c>
      <c r="I405">
        <v>4.391</v>
      </c>
      <c r="J405">
        <v>0.78300000000000003</v>
      </c>
      <c r="K405">
        <v>2.93</v>
      </c>
      <c r="L405">
        <v>5.98</v>
      </c>
      <c r="M405">
        <v>11.6</v>
      </c>
      <c r="N405">
        <v>20.2</v>
      </c>
      <c r="O405">
        <v>18.37</v>
      </c>
      <c r="P405">
        <v>81.47</v>
      </c>
      <c r="Q405">
        <v>0.16</v>
      </c>
    </row>
    <row r="406" spans="1:17">
      <c r="A406">
        <v>719.1</v>
      </c>
      <c r="B406">
        <v>711</v>
      </c>
      <c r="C406">
        <v>445</v>
      </c>
      <c r="D406">
        <v>373</v>
      </c>
      <c r="E406" t="s">
        <v>66</v>
      </c>
      <c r="F406" t="b">
        <v>0</v>
      </c>
      <c r="G406" t="b">
        <v>0</v>
      </c>
      <c r="H406">
        <v>1.5</v>
      </c>
      <c r="I406">
        <v>4.391</v>
      </c>
      <c r="J406">
        <v>0.78300000000000003</v>
      </c>
      <c r="K406">
        <v>2.93</v>
      </c>
      <c r="L406">
        <v>5.98</v>
      </c>
      <c r="M406">
        <v>11.6</v>
      </c>
      <c r="N406">
        <v>20.2</v>
      </c>
      <c r="O406">
        <v>18.37</v>
      </c>
      <c r="P406">
        <v>81.47</v>
      </c>
      <c r="Q406">
        <v>0.16</v>
      </c>
    </row>
    <row r="407" spans="1:17">
      <c r="A407">
        <v>721</v>
      </c>
      <c r="B407">
        <v>712.9</v>
      </c>
      <c r="C407">
        <v>446</v>
      </c>
      <c r="D407">
        <v>374</v>
      </c>
      <c r="E407" t="s">
        <v>66</v>
      </c>
      <c r="F407" t="b">
        <v>0</v>
      </c>
      <c r="G407" t="b">
        <v>0</v>
      </c>
      <c r="H407">
        <v>1.9</v>
      </c>
      <c r="I407" t="s">
        <v>159</v>
      </c>
      <c r="J407" t="s">
        <v>159</v>
      </c>
      <c r="K407" t="s">
        <v>159</v>
      </c>
      <c r="L407" t="s">
        <v>159</v>
      </c>
      <c r="M407" t="s">
        <v>159</v>
      </c>
      <c r="N407" t="s">
        <v>159</v>
      </c>
      <c r="O407" t="s">
        <v>159</v>
      </c>
      <c r="P407" t="s">
        <v>159</v>
      </c>
      <c r="Q407" t="s">
        <v>159</v>
      </c>
    </row>
    <row r="408" spans="1:17">
      <c r="A408">
        <v>721.5</v>
      </c>
      <c r="B408">
        <v>713.4</v>
      </c>
      <c r="C408">
        <v>447</v>
      </c>
      <c r="D408">
        <v>375</v>
      </c>
      <c r="E408" t="s">
        <v>66</v>
      </c>
      <c r="F408" t="b">
        <v>0</v>
      </c>
      <c r="G408" t="b">
        <v>0</v>
      </c>
      <c r="H408">
        <v>0.5</v>
      </c>
      <c r="I408" t="s">
        <v>159</v>
      </c>
      <c r="J408" t="s">
        <v>159</v>
      </c>
      <c r="K408" t="s">
        <v>159</v>
      </c>
      <c r="L408" t="s">
        <v>159</v>
      </c>
      <c r="M408" t="s">
        <v>159</v>
      </c>
      <c r="N408" t="s">
        <v>159</v>
      </c>
      <c r="O408" t="s">
        <v>159</v>
      </c>
      <c r="P408" t="s">
        <v>159</v>
      </c>
      <c r="Q408" t="s">
        <v>159</v>
      </c>
    </row>
    <row r="409" spans="1:17">
      <c r="A409">
        <v>722.4</v>
      </c>
      <c r="B409">
        <v>714.3</v>
      </c>
      <c r="C409">
        <v>447</v>
      </c>
      <c r="D409">
        <v>376</v>
      </c>
      <c r="E409" t="s">
        <v>66</v>
      </c>
      <c r="F409" t="b">
        <v>0</v>
      </c>
      <c r="G409" t="b">
        <v>0</v>
      </c>
      <c r="H409">
        <v>0.9</v>
      </c>
      <c r="I409" t="s">
        <v>159</v>
      </c>
      <c r="J409" t="s">
        <v>159</v>
      </c>
      <c r="K409" t="s">
        <v>159</v>
      </c>
      <c r="L409" t="s">
        <v>159</v>
      </c>
      <c r="M409" t="s">
        <v>159</v>
      </c>
      <c r="N409" t="s">
        <v>159</v>
      </c>
      <c r="O409" t="s">
        <v>159</v>
      </c>
      <c r="P409" t="s">
        <v>159</v>
      </c>
      <c r="Q409" t="s">
        <v>159</v>
      </c>
    </row>
    <row r="410" spans="1:17">
      <c r="A410">
        <v>723.8</v>
      </c>
      <c r="B410">
        <v>715.7</v>
      </c>
      <c r="C410">
        <v>448</v>
      </c>
      <c r="D410">
        <v>377</v>
      </c>
      <c r="E410" t="s">
        <v>66</v>
      </c>
      <c r="F410" t="b">
        <v>0</v>
      </c>
      <c r="G410" t="b">
        <v>0</v>
      </c>
      <c r="H410">
        <v>1.4</v>
      </c>
      <c r="I410" t="s">
        <v>159</v>
      </c>
      <c r="J410" t="s">
        <v>159</v>
      </c>
      <c r="K410" t="s">
        <v>159</v>
      </c>
      <c r="L410" t="s">
        <v>159</v>
      </c>
      <c r="M410" t="s">
        <v>159</v>
      </c>
      <c r="N410" t="s">
        <v>159</v>
      </c>
      <c r="O410" t="s">
        <v>159</v>
      </c>
      <c r="P410" t="s">
        <v>159</v>
      </c>
      <c r="Q410" t="s">
        <v>159</v>
      </c>
    </row>
    <row r="411" spans="1:17">
      <c r="A411">
        <v>726.2</v>
      </c>
      <c r="B411">
        <v>718.1</v>
      </c>
      <c r="C411">
        <v>450</v>
      </c>
      <c r="D411">
        <v>378</v>
      </c>
      <c r="E411" t="s">
        <v>66</v>
      </c>
      <c r="F411" t="b">
        <v>0</v>
      </c>
      <c r="G411" t="b">
        <v>0</v>
      </c>
      <c r="H411">
        <v>2.4</v>
      </c>
      <c r="I411" t="s">
        <v>159</v>
      </c>
      <c r="J411" t="s">
        <v>159</v>
      </c>
      <c r="K411" t="s">
        <v>159</v>
      </c>
      <c r="L411" t="s">
        <v>159</v>
      </c>
      <c r="M411" t="s">
        <v>159</v>
      </c>
      <c r="N411" t="s">
        <v>159</v>
      </c>
      <c r="O411" t="s">
        <v>159</v>
      </c>
      <c r="P411" t="s">
        <v>159</v>
      </c>
      <c r="Q411" t="s">
        <v>159</v>
      </c>
    </row>
    <row r="412" spans="1:17">
      <c r="A412">
        <v>728.1</v>
      </c>
      <c r="B412">
        <v>719.9</v>
      </c>
      <c r="C412">
        <v>451</v>
      </c>
      <c r="D412">
        <v>379</v>
      </c>
      <c r="E412" t="s">
        <v>66</v>
      </c>
      <c r="F412" t="b">
        <v>0</v>
      </c>
      <c r="G412" t="b">
        <v>0</v>
      </c>
      <c r="H412">
        <v>1.8</v>
      </c>
      <c r="I412" t="s">
        <v>159</v>
      </c>
      <c r="J412" t="s">
        <v>159</v>
      </c>
      <c r="K412" t="s">
        <v>159</v>
      </c>
      <c r="L412" t="s">
        <v>159</v>
      </c>
      <c r="M412" t="s">
        <v>159</v>
      </c>
      <c r="N412" t="s">
        <v>159</v>
      </c>
      <c r="O412" t="s">
        <v>159</v>
      </c>
      <c r="P412" t="s">
        <v>159</v>
      </c>
      <c r="Q412" t="s">
        <v>159</v>
      </c>
    </row>
    <row r="413" spans="1:17">
      <c r="A413">
        <v>729.9</v>
      </c>
      <c r="B413">
        <v>721.8</v>
      </c>
      <c r="C413">
        <v>453</v>
      </c>
      <c r="D413">
        <v>380</v>
      </c>
      <c r="E413" t="s">
        <v>66</v>
      </c>
      <c r="F413" t="b">
        <v>0</v>
      </c>
      <c r="G413" t="b">
        <v>0</v>
      </c>
      <c r="H413">
        <v>1.8</v>
      </c>
      <c r="I413" t="s">
        <v>159</v>
      </c>
      <c r="J413" t="s">
        <v>159</v>
      </c>
      <c r="K413" t="s">
        <v>159</v>
      </c>
      <c r="L413" t="s">
        <v>159</v>
      </c>
      <c r="M413" t="s">
        <v>159</v>
      </c>
      <c r="N413" t="s">
        <v>159</v>
      </c>
      <c r="O413" t="s">
        <v>159</v>
      </c>
      <c r="P413" t="s">
        <v>159</v>
      </c>
      <c r="Q413" t="s">
        <v>159</v>
      </c>
    </row>
    <row r="414" spans="1:17">
      <c r="A414">
        <v>730.7</v>
      </c>
      <c r="B414">
        <v>722.6</v>
      </c>
      <c r="C414">
        <v>453</v>
      </c>
      <c r="D414">
        <v>381</v>
      </c>
      <c r="E414" t="s">
        <v>66</v>
      </c>
      <c r="F414" t="b">
        <v>0</v>
      </c>
      <c r="G414" t="b">
        <v>0</v>
      </c>
      <c r="H414">
        <v>0.9</v>
      </c>
      <c r="I414" t="s">
        <v>159</v>
      </c>
      <c r="J414" t="s">
        <v>159</v>
      </c>
      <c r="K414" t="s">
        <v>159</v>
      </c>
      <c r="L414" t="s">
        <v>159</v>
      </c>
      <c r="M414" t="s">
        <v>159</v>
      </c>
      <c r="N414" t="s">
        <v>159</v>
      </c>
      <c r="O414" t="s">
        <v>159</v>
      </c>
      <c r="P414" t="s">
        <v>159</v>
      </c>
      <c r="Q414" t="s">
        <v>159</v>
      </c>
    </row>
    <row r="415" spans="1:17">
      <c r="A415">
        <v>732.3</v>
      </c>
      <c r="B415">
        <v>724.1</v>
      </c>
      <c r="C415">
        <v>454</v>
      </c>
      <c r="D415">
        <v>382</v>
      </c>
      <c r="E415" t="s">
        <v>66</v>
      </c>
      <c r="F415" t="b">
        <v>0</v>
      </c>
      <c r="G415" t="b">
        <v>0</v>
      </c>
      <c r="H415">
        <v>1.5</v>
      </c>
      <c r="I415" t="s">
        <v>159</v>
      </c>
      <c r="J415" t="s">
        <v>159</v>
      </c>
      <c r="K415" t="s">
        <v>159</v>
      </c>
      <c r="L415" t="s">
        <v>159</v>
      </c>
      <c r="M415" t="s">
        <v>159</v>
      </c>
      <c r="N415" t="s">
        <v>159</v>
      </c>
      <c r="O415" t="s">
        <v>159</v>
      </c>
      <c r="P415" t="s">
        <v>159</v>
      </c>
      <c r="Q415" t="s">
        <v>159</v>
      </c>
    </row>
    <row r="416" spans="1:17">
      <c r="A416">
        <v>734.3</v>
      </c>
      <c r="B416">
        <v>726.2</v>
      </c>
      <c r="C416">
        <v>456</v>
      </c>
      <c r="D416">
        <v>383</v>
      </c>
      <c r="E416" t="s">
        <v>66</v>
      </c>
      <c r="F416" t="b">
        <v>0</v>
      </c>
      <c r="G416" t="b">
        <v>0</v>
      </c>
      <c r="H416">
        <v>2</v>
      </c>
      <c r="I416" t="s">
        <v>159</v>
      </c>
      <c r="J416" t="s">
        <v>159</v>
      </c>
      <c r="K416" t="s">
        <v>159</v>
      </c>
      <c r="L416" t="s">
        <v>159</v>
      </c>
      <c r="M416" t="s">
        <v>159</v>
      </c>
      <c r="N416" t="s">
        <v>159</v>
      </c>
      <c r="O416" t="s">
        <v>159</v>
      </c>
      <c r="P416" t="s">
        <v>159</v>
      </c>
      <c r="Q416" t="s">
        <v>159</v>
      </c>
    </row>
    <row r="417" spans="1:17">
      <c r="A417">
        <v>735.6</v>
      </c>
      <c r="B417">
        <v>727.4</v>
      </c>
      <c r="C417">
        <v>457</v>
      </c>
      <c r="D417">
        <v>384</v>
      </c>
      <c r="E417" t="s">
        <v>66</v>
      </c>
      <c r="F417" t="b">
        <v>0</v>
      </c>
      <c r="G417" t="b">
        <v>0</v>
      </c>
      <c r="H417">
        <v>1.3</v>
      </c>
      <c r="I417" t="s">
        <v>159</v>
      </c>
      <c r="J417" t="s">
        <v>159</v>
      </c>
      <c r="K417" t="s">
        <v>159</v>
      </c>
      <c r="L417" t="s">
        <v>159</v>
      </c>
      <c r="M417" t="s">
        <v>159</v>
      </c>
      <c r="N417" t="s">
        <v>159</v>
      </c>
      <c r="O417" t="s">
        <v>159</v>
      </c>
      <c r="P417" t="s">
        <v>159</v>
      </c>
      <c r="Q417" t="s">
        <v>159</v>
      </c>
    </row>
    <row r="418" spans="1:17">
      <c r="A418">
        <v>736.8</v>
      </c>
      <c r="B418">
        <v>728.7</v>
      </c>
      <c r="C418">
        <v>458</v>
      </c>
      <c r="D418">
        <v>385</v>
      </c>
      <c r="E418" t="s">
        <v>66</v>
      </c>
      <c r="F418" t="b">
        <v>0</v>
      </c>
      <c r="G418" t="b">
        <v>0</v>
      </c>
      <c r="H418">
        <v>1.3</v>
      </c>
      <c r="I418" t="s">
        <v>159</v>
      </c>
      <c r="J418" t="s">
        <v>159</v>
      </c>
      <c r="K418" t="s">
        <v>159</v>
      </c>
      <c r="L418" t="s">
        <v>159</v>
      </c>
      <c r="M418" t="s">
        <v>159</v>
      </c>
      <c r="N418" t="s">
        <v>159</v>
      </c>
      <c r="O418" t="s">
        <v>159</v>
      </c>
      <c r="P418" t="s">
        <v>159</v>
      </c>
      <c r="Q418" t="s">
        <v>159</v>
      </c>
    </row>
    <row r="419" spans="1:17">
      <c r="A419">
        <v>738.5</v>
      </c>
      <c r="B419">
        <v>730.4</v>
      </c>
      <c r="C419">
        <v>459</v>
      </c>
      <c r="D419">
        <v>386</v>
      </c>
      <c r="E419" t="s">
        <v>66</v>
      </c>
      <c r="F419" t="b">
        <v>0</v>
      </c>
      <c r="G419" t="b">
        <v>0</v>
      </c>
      <c r="H419">
        <v>1.6</v>
      </c>
      <c r="I419" t="s">
        <v>159</v>
      </c>
      <c r="J419" t="s">
        <v>159</v>
      </c>
      <c r="K419" t="s">
        <v>159</v>
      </c>
      <c r="L419" t="s">
        <v>159</v>
      </c>
      <c r="M419" t="s">
        <v>159</v>
      </c>
      <c r="N419" t="s">
        <v>159</v>
      </c>
      <c r="O419" t="s">
        <v>159</v>
      </c>
      <c r="P419" t="s">
        <v>159</v>
      </c>
      <c r="Q419" t="s">
        <v>159</v>
      </c>
    </row>
    <row r="420" spans="1:17">
      <c r="A420">
        <v>740.1</v>
      </c>
      <c r="B420">
        <v>731.9</v>
      </c>
      <c r="C420">
        <v>460</v>
      </c>
      <c r="D420">
        <v>387</v>
      </c>
      <c r="E420" t="s">
        <v>66</v>
      </c>
      <c r="F420" t="b">
        <v>0</v>
      </c>
      <c r="G420" t="b">
        <v>0</v>
      </c>
      <c r="H420">
        <v>1.6</v>
      </c>
      <c r="I420" t="s">
        <v>159</v>
      </c>
      <c r="J420" t="s">
        <v>159</v>
      </c>
      <c r="K420" t="s">
        <v>159</v>
      </c>
      <c r="L420" t="s">
        <v>159</v>
      </c>
      <c r="M420" t="s">
        <v>159</v>
      </c>
      <c r="N420" t="s">
        <v>159</v>
      </c>
      <c r="O420" t="s">
        <v>159</v>
      </c>
      <c r="P420" t="s">
        <v>159</v>
      </c>
      <c r="Q420" t="s">
        <v>159</v>
      </c>
    </row>
    <row r="421" spans="1:17">
      <c r="A421">
        <v>741.3</v>
      </c>
      <c r="B421">
        <v>733.1</v>
      </c>
      <c r="C421">
        <v>461</v>
      </c>
      <c r="D421">
        <v>388</v>
      </c>
      <c r="E421" t="s">
        <v>66</v>
      </c>
      <c r="F421" t="b">
        <v>0</v>
      </c>
      <c r="G421" t="b">
        <v>0</v>
      </c>
      <c r="H421">
        <v>1.2</v>
      </c>
      <c r="I421" t="s">
        <v>159</v>
      </c>
      <c r="J421" t="s">
        <v>159</v>
      </c>
      <c r="K421" t="s">
        <v>159</v>
      </c>
      <c r="L421" t="s">
        <v>159</v>
      </c>
      <c r="M421" t="s">
        <v>159</v>
      </c>
      <c r="N421" t="s">
        <v>159</v>
      </c>
      <c r="O421" t="s">
        <v>159</v>
      </c>
      <c r="P421" t="s">
        <v>159</v>
      </c>
      <c r="Q421" t="s">
        <v>159</v>
      </c>
    </row>
    <row r="422" spans="1:17">
      <c r="A422">
        <v>742.3</v>
      </c>
      <c r="B422">
        <v>734.2</v>
      </c>
      <c r="C422">
        <v>461</v>
      </c>
      <c r="D422">
        <v>389</v>
      </c>
      <c r="E422" t="s">
        <v>66</v>
      </c>
      <c r="F422" t="b">
        <v>0</v>
      </c>
      <c r="G422" t="b">
        <v>0</v>
      </c>
      <c r="H422">
        <v>1</v>
      </c>
      <c r="I422" t="s">
        <v>159</v>
      </c>
      <c r="J422" t="s">
        <v>159</v>
      </c>
      <c r="K422" t="s">
        <v>159</v>
      </c>
      <c r="L422" t="s">
        <v>159</v>
      </c>
      <c r="M422" t="s">
        <v>159</v>
      </c>
      <c r="N422" t="s">
        <v>159</v>
      </c>
      <c r="O422" t="s">
        <v>159</v>
      </c>
      <c r="P422" t="s">
        <v>159</v>
      </c>
      <c r="Q422" t="s">
        <v>159</v>
      </c>
    </row>
    <row r="423" spans="1:17">
      <c r="A423">
        <v>743.6</v>
      </c>
      <c r="B423">
        <v>735.5</v>
      </c>
      <c r="C423">
        <v>462</v>
      </c>
      <c r="D423">
        <v>390</v>
      </c>
      <c r="E423" t="s">
        <v>66</v>
      </c>
      <c r="F423" t="b">
        <v>0</v>
      </c>
      <c r="G423" t="b">
        <v>0</v>
      </c>
      <c r="H423">
        <v>1.4</v>
      </c>
      <c r="I423" t="s">
        <v>159</v>
      </c>
      <c r="J423" t="s">
        <v>159</v>
      </c>
      <c r="K423" t="s">
        <v>159</v>
      </c>
      <c r="L423" t="s">
        <v>159</v>
      </c>
      <c r="M423" t="s">
        <v>159</v>
      </c>
      <c r="N423" t="s">
        <v>159</v>
      </c>
      <c r="O423" t="s">
        <v>159</v>
      </c>
      <c r="P423" t="s">
        <v>159</v>
      </c>
      <c r="Q423" t="s">
        <v>159</v>
      </c>
    </row>
    <row r="424" spans="1:17">
      <c r="A424">
        <v>745</v>
      </c>
      <c r="B424">
        <v>736.9</v>
      </c>
      <c r="C424">
        <v>463</v>
      </c>
      <c r="D424">
        <v>391</v>
      </c>
      <c r="E424" t="s">
        <v>66</v>
      </c>
      <c r="F424" t="b">
        <v>0</v>
      </c>
      <c r="G424" t="b">
        <v>0</v>
      </c>
      <c r="H424">
        <v>1.4</v>
      </c>
      <c r="I424" t="s">
        <v>159</v>
      </c>
      <c r="J424" t="s">
        <v>159</v>
      </c>
      <c r="K424" t="s">
        <v>159</v>
      </c>
      <c r="L424" t="s">
        <v>159</v>
      </c>
      <c r="M424" t="s">
        <v>159</v>
      </c>
      <c r="N424" t="s">
        <v>159</v>
      </c>
      <c r="O424" t="s">
        <v>159</v>
      </c>
      <c r="P424" t="s">
        <v>159</v>
      </c>
      <c r="Q424" t="s">
        <v>159</v>
      </c>
    </row>
    <row r="425" spans="1:17">
      <c r="A425">
        <v>746.7</v>
      </c>
      <c r="B425">
        <v>738.6</v>
      </c>
      <c r="C425">
        <v>465</v>
      </c>
      <c r="D425">
        <v>392</v>
      </c>
      <c r="E425" t="s">
        <v>66</v>
      </c>
      <c r="F425" t="b">
        <v>0</v>
      </c>
      <c r="G425" t="b">
        <v>0</v>
      </c>
      <c r="H425">
        <v>1.7</v>
      </c>
      <c r="I425" t="s">
        <v>159</v>
      </c>
      <c r="J425" t="s">
        <v>159</v>
      </c>
      <c r="K425" t="s">
        <v>159</v>
      </c>
      <c r="L425" t="s">
        <v>159</v>
      </c>
      <c r="M425" t="s">
        <v>159</v>
      </c>
      <c r="N425" t="s">
        <v>159</v>
      </c>
      <c r="O425" t="s">
        <v>159</v>
      </c>
      <c r="P425" t="s">
        <v>159</v>
      </c>
      <c r="Q425" t="s">
        <v>159</v>
      </c>
    </row>
    <row r="426" spans="1:17">
      <c r="A426">
        <v>748.4</v>
      </c>
      <c r="B426">
        <v>740.2</v>
      </c>
      <c r="C426">
        <v>466</v>
      </c>
      <c r="D426">
        <v>393</v>
      </c>
      <c r="E426" t="s">
        <v>66</v>
      </c>
      <c r="F426" t="b">
        <v>0</v>
      </c>
      <c r="G426" t="b">
        <v>0</v>
      </c>
      <c r="H426">
        <v>1.6</v>
      </c>
      <c r="I426" t="s">
        <v>159</v>
      </c>
      <c r="J426" t="s">
        <v>159</v>
      </c>
      <c r="K426" t="s">
        <v>159</v>
      </c>
      <c r="L426" t="s">
        <v>159</v>
      </c>
      <c r="M426" t="s">
        <v>159</v>
      </c>
      <c r="N426" t="s">
        <v>159</v>
      </c>
      <c r="O426" t="s">
        <v>159</v>
      </c>
      <c r="P426" t="s">
        <v>159</v>
      </c>
      <c r="Q426" t="s">
        <v>159</v>
      </c>
    </row>
    <row r="427" spans="1:17">
      <c r="A427">
        <v>750.7</v>
      </c>
      <c r="B427">
        <v>742.6</v>
      </c>
      <c r="C427">
        <v>468</v>
      </c>
      <c r="D427">
        <v>394</v>
      </c>
      <c r="E427" t="s">
        <v>66</v>
      </c>
      <c r="F427" t="b">
        <v>0</v>
      </c>
      <c r="G427" t="b">
        <v>0</v>
      </c>
      <c r="H427">
        <v>2.4</v>
      </c>
      <c r="I427">
        <v>4.5789999999999997</v>
      </c>
      <c r="J427">
        <v>0.76100000000000001</v>
      </c>
      <c r="K427">
        <v>2.88</v>
      </c>
      <c r="L427">
        <v>6.07</v>
      </c>
      <c r="M427">
        <v>11.8</v>
      </c>
      <c r="N427">
        <v>20.100000000000001</v>
      </c>
      <c r="O427">
        <v>18.96</v>
      </c>
      <c r="P427">
        <v>80.900000000000006</v>
      </c>
      <c r="Q427">
        <v>0.14000000000000001</v>
      </c>
    </row>
    <row r="428" spans="1:17">
      <c r="A428">
        <v>752.4</v>
      </c>
      <c r="B428">
        <v>744.2</v>
      </c>
      <c r="C428">
        <v>469</v>
      </c>
      <c r="D428">
        <v>395</v>
      </c>
      <c r="E428" t="s">
        <v>66</v>
      </c>
      <c r="F428" t="b">
        <v>0</v>
      </c>
      <c r="G428" t="b">
        <v>0</v>
      </c>
      <c r="H428">
        <v>1.6</v>
      </c>
      <c r="I428">
        <v>4.5789999999999997</v>
      </c>
      <c r="J428">
        <v>0.76100000000000001</v>
      </c>
      <c r="K428">
        <v>2.88</v>
      </c>
      <c r="L428">
        <v>6.07</v>
      </c>
      <c r="M428">
        <v>11.8</v>
      </c>
      <c r="N428">
        <v>20.100000000000001</v>
      </c>
      <c r="O428">
        <v>18.96</v>
      </c>
      <c r="P428">
        <v>80.900000000000006</v>
      </c>
      <c r="Q428">
        <v>0.14000000000000001</v>
      </c>
    </row>
    <row r="429" spans="1:17">
      <c r="A429">
        <v>753.2</v>
      </c>
      <c r="B429">
        <v>745.1</v>
      </c>
      <c r="C429">
        <v>469</v>
      </c>
      <c r="D429">
        <v>396</v>
      </c>
      <c r="E429" t="s">
        <v>66</v>
      </c>
      <c r="F429" t="b">
        <v>0</v>
      </c>
      <c r="G429" t="b">
        <v>0</v>
      </c>
      <c r="H429">
        <v>0.8</v>
      </c>
      <c r="I429">
        <v>4.5789999999999997</v>
      </c>
      <c r="J429">
        <v>0.76100000000000001</v>
      </c>
      <c r="K429">
        <v>2.88</v>
      </c>
      <c r="L429">
        <v>6.07</v>
      </c>
      <c r="M429">
        <v>11.8</v>
      </c>
      <c r="N429">
        <v>20.100000000000001</v>
      </c>
      <c r="O429">
        <v>18.96</v>
      </c>
      <c r="P429">
        <v>80.900000000000006</v>
      </c>
      <c r="Q429">
        <v>0.14000000000000001</v>
      </c>
    </row>
    <row r="430" spans="1:17">
      <c r="A430">
        <v>754.5</v>
      </c>
      <c r="B430">
        <v>746.4</v>
      </c>
      <c r="C430">
        <v>470</v>
      </c>
      <c r="D430">
        <v>397</v>
      </c>
      <c r="E430" t="s">
        <v>66</v>
      </c>
      <c r="F430" t="b">
        <v>0</v>
      </c>
      <c r="G430" t="b">
        <v>0</v>
      </c>
      <c r="H430">
        <v>1.3</v>
      </c>
      <c r="I430">
        <v>4.5789999999999997</v>
      </c>
      <c r="J430">
        <v>0.76100000000000001</v>
      </c>
      <c r="K430">
        <v>2.88</v>
      </c>
      <c r="L430">
        <v>6.07</v>
      </c>
      <c r="M430">
        <v>11.8</v>
      </c>
      <c r="N430">
        <v>20.100000000000001</v>
      </c>
      <c r="O430">
        <v>18.96</v>
      </c>
      <c r="P430">
        <v>80.900000000000006</v>
      </c>
      <c r="Q430">
        <v>0.14000000000000001</v>
      </c>
    </row>
    <row r="431" spans="1:17">
      <c r="A431">
        <v>756.2</v>
      </c>
      <c r="B431">
        <v>748</v>
      </c>
      <c r="C431">
        <v>471</v>
      </c>
      <c r="D431">
        <v>398</v>
      </c>
      <c r="E431" t="s">
        <v>66</v>
      </c>
      <c r="F431" t="b">
        <v>0</v>
      </c>
      <c r="G431" t="b">
        <v>0</v>
      </c>
      <c r="H431">
        <v>1.7</v>
      </c>
      <c r="I431">
        <v>4.5789999999999997</v>
      </c>
      <c r="J431">
        <v>0.76100000000000001</v>
      </c>
      <c r="K431">
        <v>2.88</v>
      </c>
      <c r="L431">
        <v>6.07</v>
      </c>
      <c r="M431">
        <v>11.8</v>
      </c>
      <c r="N431">
        <v>20.100000000000001</v>
      </c>
      <c r="O431">
        <v>18.96</v>
      </c>
      <c r="P431">
        <v>80.900000000000006</v>
      </c>
      <c r="Q431">
        <v>0.14000000000000001</v>
      </c>
    </row>
    <row r="432" spans="1:17">
      <c r="A432">
        <v>757.5</v>
      </c>
      <c r="B432">
        <v>749.4</v>
      </c>
      <c r="C432">
        <v>472</v>
      </c>
      <c r="D432">
        <v>399</v>
      </c>
      <c r="E432" t="s">
        <v>66</v>
      </c>
      <c r="F432" t="b">
        <v>0</v>
      </c>
      <c r="G432" t="b">
        <v>0</v>
      </c>
      <c r="H432">
        <v>1.4</v>
      </c>
      <c r="I432">
        <v>4.5789999999999997</v>
      </c>
      <c r="J432">
        <v>0.76100000000000001</v>
      </c>
      <c r="K432">
        <v>2.88</v>
      </c>
      <c r="L432">
        <v>6.07</v>
      </c>
      <c r="M432">
        <v>11.8</v>
      </c>
      <c r="N432">
        <v>20.100000000000001</v>
      </c>
      <c r="O432">
        <v>18.96</v>
      </c>
      <c r="P432">
        <v>80.900000000000006</v>
      </c>
      <c r="Q432">
        <v>0.14000000000000001</v>
      </c>
    </row>
    <row r="433" spans="1:17">
      <c r="A433">
        <v>758.6</v>
      </c>
      <c r="B433">
        <v>750.5</v>
      </c>
      <c r="C433">
        <v>473</v>
      </c>
      <c r="D433">
        <v>400</v>
      </c>
      <c r="E433" t="s">
        <v>66</v>
      </c>
      <c r="F433" t="b">
        <v>0</v>
      </c>
      <c r="G433" t="b">
        <v>0</v>
      </c>
      <c r="H433">
        <v>1.1000000000000001</v>
      </c>
      <c r="I433">
        <v>4.5789999999999997</v>
      </c>
      <c r="J433">
        <v>0.76100000000000001</v>
      </c>
      <c r="K433">
        <v>2.88</v>
      </c>
      <c r="L433">
        <v>6.07</v>
      </c>
      <c r="M433">
        <v>11.8</v>
      </c>
      <c r="N433">
        <v>20.100000000000001</v>
      </c>
      <c r="O433">
        <v>18.96</v>
      </c>
      <c r="P433">
        <v>80.900000000000006</v>
      </c>
      <c r="Q433">
        <v>0.14000000000000001</v>
      </c>
    </row>
    <row r="434" spans="1:17">
      <c r="A434">
        <v>759.8</v>
      </c>
      <c r="B434">
        <v>751.7</v>
      </c>
      <c r="C434">
        <v>474</v>
      </c>
      <c r="D434">
        <v>401</v>
      </c>
      <c r="E434" t="s">
        <v>66</v>
      </c>
      <c r="F434" t="b">
        <v>0</v>
      </c>
      <c r="G434" t="b">
        <v>0</v>
      </c>
      <c r="H434">
        <v>1.2</v>
      </c>
      <c r="I434">
        <v>4.5789999999999997</v>
      </c>
      <c r="J434">
        <v>0.76100000000000001</v>
      </c>
      <c r="K434">
        <v>2.88</v>
      </c>
      <c r="L434">
        <v>6.07</v>
      </c>
      <c r="M434">
        <v>11.8</v>
      </c>
      <c r="N434">
        <v>20.100000000000001</v>
      </c>
      <c r="O434">
        <v>18.96</v>
      </c>
      <c r="P434">
        <v>80.900000000000006</v>
      </c>
      <c r="Q434">
        <v>0.14000000000000001</v>
      </c>
    </row>
    <row r="435" spans="1:17">
      <c r="A435">
        <v>761.7</v>
      </c>
      <c r="B435">
        <v>753.5</v>
      </c>
      <c r="C435">
        <v>475</v>
      </c>
      <c r="D435">
        <v>402</v>
      </c>
      <c r="E435" t="s">
        <v>66</v>
      </c>
      <c r="F435" t="b">
        <v>0</v>
      </c>
      <c r="G435" t="b">
        <v>0</v>
      </c>
      <c r="H435">
        <v>1.9</v>
      </c>
      <c r="I435">
        <v>4.5789999999999997</v>
      </c>
      <c r="J435">
        <v>0.76100000000000001</v>
      </c>
      <c r="K435">
        <v>2.88</v>
      </c>
      <c r="L435">
        <v>6.07</v>
      </c>
      <c r="M435">
        <v>11.8</v>
      </c>
      <c r="N435">
        <v>20.100000000000001</v>
      </c>
      <c r="O435">
        <v>18.96</v>
      </c>
      <c r="P435">
        <v>80.900000000000006</v>
      </c>
      <c r="Q435">
        <v>0.14000000000000001</v>
      </c>
    </row>
    <row r="436" spans="1:17">
      <c r="A436">
        <v>763.2</v>
      </c>
      <c r="B436">
        <v>755</v>
      </c>
      <c r="C436">
        <v>477</v>
      </c>
      <c r="D436">
        <v>403</v>
      </c>
      <c r="E436" t="s">
        <v>66</v>
      </c>
      <c r="F436" t="b">
        <v>0</v>
      </c>
      <c r="G436" t="b">
        <v>0</v>
      </c>
      <c r="H436">
        <v>1.5</v>
      </c>
      <c r="I436">
        <v>4.5789999999999997</v>
      </c>
      <c r="J436">
        <v>0.76100000000000001</v>
      </c>
      <c r="K436">
        <v>2.88</v>
      </c>
      <c r="L436">
        <v>6.07</v>
      </c>
      <c r="M436">
        <v>11.8</v>
      </c>
      <c r="N436">
        <v>20.100000000000001</v>
      </c>
      <c r="O436">
        <v>18.96</v>
      </c>
      <c r="P436">
        <v>80.900000000000006</v>
      </c>
      <c r="Q436">
        <v>0.14000000000000001</v>
      </c>
    </row>
    <row r="437" spans="1:17">
      <c r="A437">
        <v>764.4</v>
      </c>
      <c r="B437">
        <v>756.2</v>
      </c>
      <c r="C437">
        <v>477</v>
      </c>
      <c r="D437">
        <v>404</v>
      </c>
      <c r="E437" t="s">
        <v>66</v>
      </c>
      <c r="F437" t="b">
        <v>0</v>
      </c>
      <c r="G437" t="b">
        <v>0</v>
      </c>
      <c r="H437">
        <v>1.2</v>
      </c>
      <c r="I437">
        <v>4.5789999999999997</v>
      </c>
      <c r="J437">
        <v>0.76100000000000001</v>
      </c>
      <c r="K437">
        <v>2.88</v>
      </c>
      <c r="L437">
        <v>6.07</v>
      </c>
      <c r="M437">
        <v>11.8</v>
      </c>
      <c r="N437">
        <v>20.100000000000001</v>
      </c>
      <c r="O437">
        <v>18.96</v>
      </c>
      <c r="P437">
        <v>80.900000000000006</v>
      </c>
      <c r="Q437">
        <v>0.14000000000000001</v>
      </c>
    </row>
    <row r="438" spans="1:17">
      <c r="A438">
        <v>766.2</v>
      </c>
      <c r="B438">
        <v>758</v>
      </c>
      <c r="C438">
        <v>479</v>
      </c>
      <c r="D438">
        <v>405</v>
      </c>
      <c r="E438" t="s">
        <v>66</v>
      </c>
      <c r="F438" t="b">
        <v>0</v>
      </c>
      <c r="G438" t="b">
        <v>0</v>
      </c>
      <c r="H438">
        <v>1.8</v>
      </c>
      <c r="I438">
        <v>4.5789999999999997</v>
      </c>
      <c r="J438">
        <v>0.76100000000000001</v>
      </c>
      <c r="K438">
        <v>2.88</v>
      </c>
      <c r="L438">
        <v>6.07</v>
      </c>
      <c r="M438">
        <v>11.8</v>
      </c>
      <c r="N438">
        <v>20.100000000000001</v>
      </c>
      <c r="O438">
        <v>18.96</v>
      </c>
      <c r="P438">
        <v>80.900000000000006</v>
      </c>
      <c r="Q438">
        <v>0.14000000000000001</v>
      </c>
    </row>
    <row r="439" spans="1:17">
      <c r="A439">
        <v>768.4</v>
      </c>
      <c r="B439">
        <v>760.3</v>
      </c>
      <c r="C439">
        <v>480</v>
      </c>
      <c r="D439">
        <v>406</v>
      </c>
      <c r="E439" t="s">
        <v>66</v>
      </c>
      <c r="F439" t="b">
        <v>0</v>
      </c>
      <c r="G439" t="b">
        <v>0</v>
      </c>
      <c r="H439">
        <v>2.2999999999999998</v>
      </c>
      <c r="I439">
        <v>4.5789999999999997</v>
      </c>
      <c r="J439">
        <v>0.76100000000000001</v>
      </c>
      <c r="K439">
        <v>2.88</v>
      </c>
      <c r="L439">
        <v>6.07</v>
      </c>
      <c r="M439">
        <v>11.8</v>
      </c>
      <c r="N439">
        <v>20.100000000000001</v>
      </c>
      <c r="O439">
        <v>18.96</v>
      </c>
      <c r="P439">
        <v>80.900000000000006</v>
      </c>
      <c r="Q439">
        <v>0.14000000000000001</v>
      </c>
    </row>
    <row r="440" spans="1:17">
      <c r="A440">
        <v>770.6</v>
      </c>
      <c r="B440">
        <v>762.5</v>
      </c>
      <c r="C440">
        <v>482</v>
      </c>
      <c r="D440">
        <v>407</v>
      </c>
      <c r="E440" t="s">
        <v>66</v>
      </c>
      <c r="F440" t="b">
        <v>0</v>
      </c>
      <c r="G440" t="b">
        <v>0</v>
      </c>
      <c r="H440">
        <v>2.2000000000000002</v>
      </c>
      <c r="I440" t="s">
        <v>159</v>
      </c>
      <c r="J440" t="s">
        <v>159</v>
      </c>
      <c r="K440" t="s">
        <v>159</v>
      </c>
      <c r="L440" t="s">
        <v>159</v>
      </c>
      <c r="M440" t="s">
        <v>159</v>
      </c>
      <c r="N440" t="s">
        <v>159</v>
      </c>
      <c r="O440" t="s">
        <v>159</v>
      </c>
      <c r="P440" t="s">
        <v>159</v>
      </c>
      <c r="Q440" t="s">
        <v>159</v>
      </c>
    </row>
    <row r="441" spans="1:17">
      <c r="A441">
        <v>771.9</v>
      </c>
      <c r="B441">
        <v>763.7</v>
      </c>
      <c r="C441">
        <v>483</v>
      </c>
      <c r="D441">
        <v>408</v>
      </c>
      <c r="E441" t="s">
        <v>66</v>
      </c>
      <c r="F441" t="b">
        <v>0</v>
      </c>
      <c r="G441" t="b">
        <v>0</v>
      </c>
      <c r="H441">
        <v>1.2</v>
      </c>
      <c r="I441" t="s">
        <v>159</v>
      </c>
      <c r="J441" t="s">
        <v>159</v>
      </c>
      <c r="K441" t="s">
        <v>159</v>
      </c>
      <c r="L441" t="s">
        <v>159</v>
      </c>
      <c r="M441" t="s">
        <v>159</v>
      </c>
      <c r="N441" t="s">
        <v>159</v>
      </c>
      <c r="O441" t="s">
        <v>159</v>
      </c>
      <c r="P441" t="s">
        <v>159</v>
      </c>
      <c r="Q441" t="s">
        <v>159</v>
      </c>
    </row>
    <row r="442" spans="1:17">
      <c r="A442">
        <v>773.4</v>
      </c>
      <c r="B442">
        <v>765.3</v>
      </c>
      <c r="C442">
        <v>484</v>
      </c>
      <c r="D442">
        <v>409</v>
      </c>
      <c r="E442" t="s">
        <v>66</v>
      </c>
      <c r="F442" t="b">
        <v>0</v>
      </c>
      <c r="G442" t="b">
        <v>0</v>
      </c>
      <c r="H442">
        <v>1.5</v>
      </c>
      <c r="I442" t="s">
        <v>159</v>
      </c>
      <c r="J442" t="s">
        <v>159</v>
      </c>
      <c r="K442" t="s">
        <v>159</v>
      </c>
      <c r="L442" t="s">
        <v>159</v>
      </c>
      <c r="M442" t="s">
        <v>159</v>
      </c>
      <c r="N442" t="s">
        <v>159</v>
      </c>
      <c r="O442" t="s">
        <v>159</v>
      </c>
      <c r="P442" t="s">
        <v>159</v>
      </c>
      <c r="Q442" t="s">
        <v>159</v>
      </c>
    </row>
    <row r="443" spans="1:17">
      <c r="A443">
        <v>774.8</v>
      </c>
      <c r="B443">
        <v>766.7</v>
      </c>
      <c r="C443">
        <v>485</v>
      </c>
      <c r="D443">
        <v>410</v>
      </c>
      <c r="E443" t="s">
        <v>66</v>
      </c>
      <c r="F443" t="b">
        <v>0</v>
      </c>
      <c r="G443" t="b">
        <v>0</v>
      </c>
      <c r="H443">
        <v>1.4</v>
      </c>
      <c r="I443" t="s">
        <v>159</v>
      </c>
      <c r="J443" t="s">
        <v>159</v>
      </c>
      <c r="K443" t="s">
        <v>159</v>
      </c>
      <c r="L443" t="s">
        <v>159</v>
      </c>
      <c r="M443" t="s">
        <v>159</v>
      </c>
      <c r="N443" t="s">
        <v>159</v>
      </c>
      <c r="O443" t="s">
        <v>159</v>
      </c>
      <c r="P443" t="s">
        <v>159</v>
      </c>
      <c r="Q443" t="s">
        <v>159</v>
      </c>
    </row>
    <row r="444" spans="1:17">
      <c r="A444">
        <v>776</v>
      </c>
      <c r="B444">
        <v>767.9</v>
      </c>
      <c r="C444">
        <v>486</v>
      </c>
      <c r="D444">
        <v>411</v>
      </c>
      <c r="E444" t="s">
        <v>66</v>
      </c>
      <c r="F444" t="b">
        <v>0</v>
      </c>
      <c r="G444" t="b">
        <v>0</v>
      </c>
      <c r="H444">
        <v>1.2</v>
      </c>
      <c r="I444" t="s">
        <v>159</v>
      </c>
      <c r="J444" t="s">
        <v>159</v>
      </c>
      <c r="K444" t="s">
        <v>159</v>
      </c>
      <c r="L444" t="s">
        <v>159</v>
      </c>
      <c r="M444" t="s">
        <v>159</v>
      </c>
      <c r="N444" t="s">
        <v>159</v>
      </c>
      <c r="O444" t="s">
        <v>159</v>
      </c>
      <c r="P444" t="s">
        <v>159</v>
      </c>
      <c r="Q444" t="s">
        <v>159</v>
      </c>
    </row>
    <row r="445" spans="1:17">
      <c r="A445">
        <v>778</v>
      </c>
      <c r="B445">
        <v>769.9</v>
      </c>
      <c r="C445">
        <v>487</v>
      </c>
      <c r="D445">
        <v>412</v>
      </c>
      <c r="E445" t="s">
        <v>66</v>
      </c>
      <c r="F445" t="b">
        <v>0</v>
      </c>
      <c r="G445" t="b">
        <v>0</v>
      </c>
      <c r="H445">
        <v>2</v>
      </c>
      <c r="I445" t="s">
        <v>159</v>
      </c>
      <c r="J445" t="s">
        <v>159</v>
      </c>
      <c r="K445" t="s">
        <v>159</v>
      </c>
      <c r="L445" t="s">
        <v>159</v>
      </c>
      <c r="M445" t="s">
        <v>159</v>
      </c>
      <c r="N445" t="s">
        <v>159</v>
      </c>
      <c r="O445" t="s">
        <v>159</v>
      </c>
      <c r="P445" t="s">
        <v>159</v>
      </c>
      <c r="Q445" t="s">
        <v>159</v>
      </c>
    </row>
    <row r="446" spans="1:17">
      <c r="A446">
        <v>779.2</v>
      </c>
      <c r="B446">
        <v>771.1</v>
      </c>
      <c r="C446">
        <v>488</v>
      </c>
      <c r="D446">
        <v>413</v>
      </c>
      <c r="E446" t="s">
        <v>66</v>
      </c>
      <c r="F446" t="b">
        <v>0</v>
      </c>
      <c r="G446" t="b">
        <v>0</v>
      </c>
      <c r="H446">
        <v>1.2</v>
      </c>
      <c r="I446" t="s">
        <v>159</v>
      </c>
      <c r="J446" t="s">
        <v>159</v>
      </c>
      <c r="K446" t="s">
        <v>159</v>
      </c>
      <c r="L446" t="s">
        <v>159</v>
      </c>
      <c r="M446" t="s">
        <v>159</v>
      </c>
      <c r="N446" t="s">
        <v>159</v>
      </c>
      <c r="O446" t="s">
        <v>159</v>
      </c>
      <c r="P446" t="s">
        <v>159</v>
      </c>
      <c r="Q446" t="s">
        <v>159</v>
      </c>
    </row>
    <row r="447" spans="1:17">
      <c r="A447">
        <v>780.4</v>
      </c>
      <c r="B447">
        <v>772.2</v>
      </c>
      <c r="C447">
        <v>489</v>
      </c>
      <c r="D447">
        <v>414</v>
      </c>
      <c r="E447" t="s">
        <v>66</v>
      </c>
      <c r="F447" t="b">
        <v>0</v>
      </c>
      <c r="G447" t="b">
        <v>0</v>
      </c>
      <c r="H447">
        <v>1.1000000000000001</v>
      </c>
      <c r="I447" t="s">
        <v>159</v>
      </c>
      <c r="J447" t="s">
        <v>159</v>
      </c>
      <c r="K447" t="s">
        <v>159</v>
      </c>
      <c r="L447" t="s">
        <v>159</v>
      </c>
      <c r="M447" t="s">
        <v>159</v>
      </c>
      <c r="N447" t="s">
        <v>159</v>
      </c>
      <c r="O447" t="s">
        <v>159</v>
      </c>
      <c r="P447" t="s">
        <v>159</v>
      </c>
      <c r="Q447" t="s">
        <v>159</v>
      </c>
    </row>
    <row r="448" spans="1:17">
      <c r="A448">
        <v>781.2</v>
      </c>
      <c r="B448">
        <v>773.1</v>
      </c>
      <c r="C448">
        <v>490</v>
      </c>
      <c r="D448">
        <v>415</v>
      </c>
      <c r="E448" t="s">
        <v>66</v>
      </c>
      <c r="F448" t="b">
        <v>0</v>
      </c>
      <c r="G448" t="b">
        <v>0</v>
      </c>
      <c r="H448">
        <v>0.8</v>
      </c>
      <c r="I448" t="s">
        <v>159</v>
      </c>
      <c r="J448" t="s">
        <v>159</v>
      </c>
      <c r="K448" t="s">
        <v>159</v>
      </c>
      <c r="L448" t="s">
        <v>159</v>
      </c>
      <c r="M448" t="s">
        <v>159</v>
      </c>
      <c r="N448" t="s">
        <v>159</v>
      </c>
      <c r="O448" t="s">
        <v>159</v>
      </c>
      <c r="P448" t="s">
        <v>159</v>
      </c>
      <c r="Q448" t="s">
        <v>159</v>
      </c>
    </row>
    <row r="449" spans="1:17">
      <c r="A449">
        <v>782.1</v>
      </c>
      <c r="B449">
        <v>774</v>
      </c>
      <c r="C449">
        <v>490</v>
      </c>
      <c r="D449">
        <v>416</v>
      </c>
      <c r="E449" t="s">
        <v>66</v>
      </c>
      <c r="F449" t="b">
        <v>0</v>
      </c>
      <c r="G449" t="b">
        <v>0</v>
      </c>
      <c r="H449">
        <v>0.9</v>
      </c>
      <c r="I449" t="s">
        <v>159</v>
      </c>
      <c r="J449" t="s">
        <v>159</v>
      </c>
      <c r="K449" t="s">
        <v>159</v>
      </c>
      <c r="L449" t="s">
        <v>159</v>
      </c>
      <c r="M449" t="s">
        <v>159</v>
      </c>
      <c r="N449" t="s">
        <v>159</v>
      </c>
      <c r="O449" t="s">
        <v>159</v>
      </c>
      <c r="P449" t="s">
        <v>159</v>
      </c>
      <c r="Q449" t="s">
        <v>159</v>
      </c>
    </row>
    <row r="450" spans="1:17">
      <c r="A450">
        <v>782.7</v>
      </c>
      <c r="B450">
        <v>774.6</v>
      </c>
      <c r="C450">
        <v>491</v>
      </c>
      <c r="D450">
        <v>417</v>
      </c>
      <c r="E450" t="s">
        <v>66</v>
      </c>
      <c r="F450" t="b">
        <v>0</v>
      </c>
      <c r="G450" t="b">
        <v>0</v>
      </c>
      <c r="H450">
        <v>0.6</v>
      </c>
      <c r="I450" t="s">
        <v>159</v>
      </c>
      <c r="J450" t="s">
        <v>159</v>
      </c>
      <c r="K450" t="s">
        <v>159</v>
      </c>
      <c r="L450" t="s">
        <v>159</v>
      </c>
      <c r="M450" t="s">
        <v>159</v>
      </c>
      <c r="N450" t="s">
        <v>159</v>
      </c>
      <c r="O450" t="s">
        <v>159</v>
      </c>
      <c r="P450" t="s">
        <v>159</v>
      </c>
      <c r="Q450" t="s">
        <v>159</v>
      </c>
    </row>
    <row r="451" spans="1:17">
      <c r="A451">
        <v>783.2</v>
      </c>
      <c r="B451">
        <v>775.1</v>
      </c>
      <c r="C451">
        <v>491</v>
      </c>
      <c r="D451">
        <v>418</v>
      </c>
      <c r="E451" t="s">
        <v>66</v>
      </c>
      <c r="F451" t="b">
        <v>0</v>
      </c>
      <c r="G451" t="b">
        <v>0</v>
      </c>
      <c r="H451">
        <v>0.5</v>
      </c>
      <c r="I451" t="s">
        <v>159</v>
      </c>
      <c r="J451" t="s">
        <v>159</v>
      </c>
      <c r="K451" t="s">
        <v>159</v>
      </c>
      <c r="L451" t="s">
        <v>159</v>
      </c>
      <c r="M451" t="s">
        <v>159</v>
      </c>
      <c r="N451" t="s">
        <v>159</v>
      </c>
      <c r="O451" t="s">
        <v>159</v>
      </c>
      <c r="P451" t="s">
        <v>159</v>
      </c>
      <c r="Q451" t="s">
        <v>159</v>
      </c>
    </row>
    <row r="452" spans="1:17">
      <c r="A452">
        <v>784.3</v>
      </c>
      <c r="B452">
        <v>776.2</v>
      </c>
      <c r="C452">
        <v>492</v>
      </c>
      <c r="D452">
        <v>419</v>
      </c>
      <c r="E452" t="s">
        <v>66</v>
      </c>
      <c r="F452" t="b">
        <v>0</v>
      </c>
      <c r="G452" t="b">
        <v>0</v>
      </c>
      <c r="H452">
        <v>1</v>
      </c>
      <c r="I452" t="s">
        <v>159</v>
      </c>
      <c r="J452" t="s">
        <v>159</v>
      </c>
      <c r="K452" t="s">
        <v>159</v>
      </c>
      <c r="L452" t="s">
        <v>159</v>
      </c>
      <c r="M452" t="s">
        <v>159</v>
      </c>
      <c r="N452" t="s">
        <v>159</v>
      </c>
      <c r="O452" t="s">
        <v>159</v>
      </c>
      <c r="P452" t="s">
        <v>159</v>
      </c>
      <c r="Q452" t="s">
        <v>159</v>
      </c>
    </row>
    <row r="453" spans="1:17">
      <c r="A453">
        <v>785.8</v>
      </c>
      <c r="B453">
        <v>777.6</v>
      </c>
      <c r="C453">
        <v>493</v>
      </c>
      <c r="D453">
        <v>420</v>
      </c>
      <c r="E453" t="s">
        <v>66</v>
      </c>
      <c r="F453" t="b">
        <v>0</v>
      </c>
      <c r="G453" t="b">
        <v>0</v>
      </c>
      <c r="H453">
        <v>1.5</v>
      </c>
      <c r="I453" t="s">
        <v>159</v>
      </c>
      <c r="J453" t="s">
        <v>159</v>
      </c>
      <c r="K453" t="s">
        <v>159</v>
      </c>
      <c r="L453" t="s">
        <v>159</v>
      </c>
      <c r="M453" t="s">
        <v>159</v>
      </c>
      <c r="N453" t="s">
        <v>159</v>
      </c>
      <c r="O453" t="s">
        <v>159</v>
      </c>
      <c r="P453" t="s">
        <v>159</v>
      </c>
      <c r="Q453" t="s">
        <v>159</v>
      </c>
    </row>
    <row r="454" spans="1:17">
      <c r="A454">
        <v>786.7</v>
      </c>
      <c r="B454">
        <v>778.6</v>
      </c>
      <c r="C454">
        <v>493</v>
      </c>
      <c r="D454">
        <v>421</v>
      </c>
      <c r="E454" t="s">
        <v>66</v>
      </c>
      <c r="F454" t="b">
        <v>0</v>
      </c>
      <c r="G454" t="b">
        <v>0</v>
      </c>
      <c r="H454">
        <v>1</v>
      </c>
      <c r="I454" t="s">
        <v>159</v>
      </c>
      <c r="J454" t="s">
        <v>159</v>
      </c>
      <c r="K454" t="s">
        <v>159</v>
      </c>
      <c r="L454" t="s">
        <v>159</v>
      </c>
      <c r="M454" t="s">
        <v>159</v>
      </c>
      <c r="N454" t="s">
        <v>159</v>
      </c>
      <c r="O454" t="s">
        <v>159</v>
      </c>
      <c r="P454" t="s">
        <v>159</v>
      </c>
      <c r="Q454" t="s">
        <v>159</v>
      </c>
    </row>
    <row r="455" spans="1:17">
      <c r="A455">
        <v>788.1</v>
      </c>
      <c r="B455">
        <v>780</v>
      </c>
      <c r="C455">
        <v>494</v>
      </c>
      <c r="D455">
        <v>422</v>
      </c>
      <c r="E455" t="s">
        <v>66</v>
      </c>
      <c r="F455" t="b">
        <v>0</v>
      </c>
      <c r="G455" t="b">
        <v>0</v>
      </c>
      <c r="H455">
        <v>1.3</v>
      </c>
      <c r="I455" t="s">
        <v>159</v>
      </c>
      <c r="J455" t="s">
        <v>159</v>
      </c>
      <c r="K455" t="s">
        <v>159</v>
      </c>
      <c r="L455" t="s">
        <v>159</v>
      </c>
      <c r="M455" t="s">
        <v>159</v>
      </c>
      <c r="N455" t="s">
        <v>159</v>
      </c>
      <c r="O455" t="s">
        <v>159</v>
      </c>
      <c r="P455" t="s">
        <v>159</v>
      </c>
      <c r="Q455" t="s">
        <v>159</v>
      </c>
    </row>
    <row r="456" spans="1:17">
      <c r="A456">
        <v>789.3</v>
      </c>
      <c r="B456">
        <v>781.2</v>
      </c>
      <c r="C456">
        <v>495</v>
      </c>
      <c r="D456">
        <v>423</v>
      </c>
      <c r="E456" t="s">
        <v>66</v>
      </c>
      <c r="F456" t="b">
        <v>0</v>
      </c>
      <c r="G456" t="b">
        <v>0</v>
      </c>
      <c r="H456">
        <v>1.2</v>
      </c>
      <c r="I456" t="s">
        <v>159</v>
      </c>
      <c r="J456" t="s">
        <v>159</v>
      </c>
      <c r="K456" t="s">
        <v>159</v>
      </c>
      <c r="L456" t="s">
        <v>159</v>
      </c>
      <c r="M456" t="s">
        <v>159</v>
      </c>
      <c r="N456" t="s">
        <v>159</v>
      </c>
      <c r="O456" t="s">
        <v>159</v>
      </c>
      <c r="P456" t="s">
        <v>159</v>
      </c>
      <c r="Q456" t="s">
        <v>159</v>
      </c>
    </row>
    <row r="457" spans="1:17">
      <c r="A457">
        <v>790.8</v>
      </c>
      <c r="B457">
        <v>782.7</v>
      </c>
      <c r="C457">
        <v>496</v>
      </c>
      <c r="D457">
        <v>424</v>
      </c>
      <c r="E457" t="s">
        <v>66</v>
      </c>
      <c r="F457" t="b">
        <v>0</v>
      </c>
      <c r="G457" t="b">
        <v>0</v>
      </c>
      <c r="H457">
        <v>1.5</v>
      </c>
      <c r="I457" t="s">
        <v>159</v>
      </c>
      <c r="J457" t="s">
        <v>159</v>
      </c>
      <c r="K457" t="s">
        <v>159</v>
      </c>
      <c r="L457" t="s">
        <v>159</v>
      </c>
      <c r="M457" t="s">
        <v>159</v>
      </c>
      <c r="N457" t="s">
        <v>159</v>
      </c>
      <c r="O457" t="s">
        <v>159</v>
      </c>
      <c r="P457" t="s">
        <v>159</v>
      </c>
      <c r="Q457" t="s">
        <v>159</v>
      </c>
    </row>
    <row r="458" spans="1:17">
      <c r="A458">
        <v>791.7</v>
      </c>
      <c r="B458">
        <v>783.6</v>
      </c>
      <c r="C458">
        <v>497</v>
      </c>
      <c r="D458">
        <v>425</v>
      </c>
      <c r="E458" t="s">
        <v>66</v>
      </c>
      <c r="F458" t="b">
        <v>0</v>
      </c>
      <c r="G458" t="b">
        <v>0</v>
      </c>
      <c r="H458">
        <v>0.9</v>
      </c>
      <c r="I458" t="s">
        <v>159</v>
      </c>
      <c r="J458" t="s">
        <v>159</v>
      </c>
      <c r="K458" t="s">
        <v>159</v>
      </c>
      <c r="L458" t="s">
        <v>159</v>
      </c>
      <c r="M458" t="s">
        <v>159</v>
      </c>
      <c r="N458" t="s">
        <v>159</v>
      </c>
      <c r="O458" t="s">
        <v>159</v>
      </c>
      <c r="P458" t="s">
        <v>159</v>
      </c>
      <c r="Q458" t="s">
        <v>159</v>
      </c>
    </row>
    <row r="459" spans="1:17">
      <c r="A459">
        <v>793.1</v>
      </c>
      <c r="B459">
        <v>785</v>
      </c>
      <c r="C459">
        <v>498</v>
      </c>
      <c r="D459">
        <v>426</v>
      </c>
      <c r="E459" t="s">
        <v>66</v>
      </c>
      <c r="F459" t="b">
        <v>0</v>
      </c>
      <c r="G459" t="b">
        <v>0</v>
      </c>
      <c r="H459">
        <v>1.4</v>
      </c>
      <c r="I459" t="s">
        <v>159</v>
      </c>
      <c r="J459" t="s">
        <v>159</v>
      </c>
      <c r="K459" t="s">
        <v>159</v>
      </c>
      <c r="L459" t="s">
        <v>159</v>
      </c>
      <c r="M459" t="s">
        <v>159</v>
      </c>
      <c r="N459" t="s">
        <v>159</v>
      </c>
      <c r="O459" t="s">
        <v>159</v>
      </c>
      <c r="P459" t="s">
        <v>159</v>
      </c>
      <c r="Q459" t="s">
        <v>159</v>
      </c>
    </row>
    <row r="460" spans="1:17">
      <c r="A460">
        <v>794.1</v>
      </c>
      <c r="B460">
        <v>786</v>
      </c>
      <c r="C460">
        <v>499</v>
      </c>
      <c r="D460">
        <v>427</v>
      </c>
      <c r="E460" t="s">
        <v>66</v>
      </c>
      <c r="F460" t="b">
        <v>0</v>
      </c>
      <c r="G460" t="b">
        <v>0</v>
      </c>
      <c r="H460">
        <v>1</v>
      </c>
      <c r="I460" t="s">
        <v>159</v>
      </c>
      <c r="J460" t="s">
        <v>159</v>
      </c>
      <c r="K460" t="s">
        <v>159</v>
      </c>
      <c r="L460" t="s">
        <v>159</v>
      </c>
      <c r="M460" t="s">
        <v>159</v>
      </c>
      <c r="N460" t="s">
        <v>159</v>
      </c>
      <c r="O460" t="s">
        <v>159</v>
      </c>
      <c r="P460" t="s">
        <v>159</v>
      </c>
      <c r="Q460" t="s">
        <v>159</v>
      </c>
    </row>
    <row r="461" spans="1:17">
      <c r="A461">
        <v>795.7</v>
      </c>
      <c r="B461">
        <v>787.6</v>
      </c>
      <c r="C461">
        <v>500</v>
      </c>
      <c r="D461">
        <v>428</v>
      </c>
      <c r="E461" t="s">
        <v>66</v>
      </c>
      <c r="F461" t="b">
        <v>0</v>
      </c>
      <c r="G461" t="b">
        <v>0</v>
      </c>
      <c r="H461">
        <v>1.6</v>
      </c>
      <c r="I461" t="s">
        <v>159</v>
      </c>
      <c r="J461" t="s">
        <v>159</v>
      </c>
      <c r="K461" t="s">
        <v>159</v>
      </c>
      <c r="L461" t="s">
        <v>159</v>
      </c>
      <c r="M461" t="s">
        <v>159</v>
      </c>
      <c r="N461" t="s">
        <v>159</v>
      </c>
      <c r="O461" t="s">
        <v>159</v>
      </c>
      <c r="P461" t="s">
        <v>159</v>
      </c>
      <c r="Q461" t="s">
        <v>159</v>
      </c>
    </row>
    <row r="462" spans="1:17">
      <c r="A462">
        <v>796.8</v>
      </c>
      <c r="B462">
        <v>788.7</v>
      </c>
      <c r="C462">
        <v>501</v>
      </c>
      <c r="D462">
        <v>429</v>
      </c>
      <c r="E462" t="s">
        <v>66</v>
      </c>
      <c r="F462" t="b">
        <v>0</v>
      </c>
      <c r="G462" t="b">
        <v>0</v>
      </c>
      <c r="H462">
        <v>1.1000000000000001</v>
      </c>
      <c r="I462" t="s">
        <v>159</v>
      </c>
      <c r="J462" t="s">
        <v>159</v>
      </c>
      <c r="K462" t="s">
        <v>159</v>
      </c>
      <c r="L462" t="s">
        <v>159</v>
      </c>
      <c r="M462" t="s">
        <v>159</v>
      </c>
      <c r="N462" t="s">
        <v>159</v>
      </c>
      <c r="O462" t="s">
        <v>159</v>
      </c>
      <c r="P462" t="s">
        <v>159</v>
      </c>
      <c r="Q462" t="s">
        <v>159</v>
      </c>
    </row>
    <row r="463" spans="1:17">
      <c r="A463">
        <v>797.9</v>
      </c>
      <c r="B463">
        <v>789.8</v>
      </c>
      <c r="C463">
        <v>502</v>
      </c>
      <c r="D463">
        <v>430</v>
      </c>
      <c r="E463" t="s">
        <v>66</v>
      </c>
      <c r="F463" t="b">
        <v>0</v>
      </c>
      <c r="G463" t="b">
        <v>0</v>
      </c>
      <c r="H463">
        <v>1.1000000000000001</v>
      </c>
      <c r="I463" t="s">
        <v>159</v>
      </c>
      <c r="J463" t="s">
        <v>159</v>
      </c>
      <c r="K463" t="s">
        <v>159</v>
      </c>
      <c r="L463" t="s">
        <v>159</v>
      </c>
      <c r="M463" t="s">
        <v>159</v>
      </c>
      <c r="N463" t="s">
        <v>159</v>
      </c>
      <c r="O463" t="s">
        <v>159</v>
      </c>
      <c r="P463" t="s">
        <v>159</v>
      </c>
      <c r="Q463" t="s">
        <v>159</v>
      </c>
    </row>
    <row r="464" spans="1:17">
      <c r="A464">
        <v>799.4</v>
      </c>
      <c r="B464">
        <v>791.3</v>
      </c>
      <c r="C464">
        <v>503</v>
      </c>
      <c r="D464">
        <v>431</v>
      </c>
      <c r="E464" t="s">
        <v>66</v>
      </c>
      <c r="F464" t="b">
        <v>0</v>
      </c>
      <c r="G464" t="b">
        <v>0</v>
      </c>
      <c r="H464">
        <v>1.5</v>
      </c>
      <c r="I464" t="s">
        <v>159</v>
      </c>
      <c r="J464" t="s">
        <v>159</v>
      </c>
      <c r="K464" t="s">
        <v>159</v>
      </c>
      <c r="L464" t="s">
        <v>159</v>
      </c>
      <c r="M464" t="s">
        <v>159</v>
      </c>
      <c r="N464" t="s">
        <v>159</v>
      </c>
      <c r="O464" t="s">
        <v>159</v>
      </c>
      <c r="P464" t="s">
        <v>159</v>
      </c>
      <c r="Q464" t="s">
        <v>159</v>
      </c>
    </row>
    <row r="465" spans="1:17">
      <c r="A465">
        <v>800.6</v>
      </c>
      <c r="B465">
        <v>792.5</v>
      </c>
      <c r="C465">
        <v>503</v>
      </c>
      <c r="D465">
        <v>432</v>
      </c>
      <c r="E465" t="s">
        <v>66</v>
      </c>
      <c r="F465" t="b">
        <v>0</v>
      </c>
      <c r="G465" t="b">
        <v>0</v>
      </c>
      <c r="H465">
        <v>1.2</v>
      </c>
      <c r="I465">
        <v>4.2009999999999996</v>
      </c>
      <c r="J465">
        <v>0.72299999999999998</v>
      </c>
      <c r="K465">
        <v>2.61</v>
      </c>
      <c r="L465">
        <v>5.68</v>
      </c>
      <c r="M465">
        <v>11.2</v>
      </c>
      <c r="N465">
        <v>19.8</v>
      </c>
      <c r="O465">
        <v>20.78</v>
      </c>
      <c r="P465">
        <v>78.91</v>
      </c>
      <c r="Q465">
        <v>0.31</v>
      </c>
    </row>
    <row r="466" spans="1:17">
      <c r="A466">
        <v>801.9</v>
      </c>
      <c r="B466">
        <v>793.7</v>
      </c>
      <c r="C466">
        <v>504</v>
      </c>
      <c r="D466">
        <v>433</v>
      </c>
      <c r="E466" t="s">
        <v>66</v>
      </c>
      <c r="F466" t="b">
        <v>0</v>
      </c>
      <c r="G466" t="b">
        <v>0</v>
      </c>
      <c r="H466">
        <v>1.3</v>
      </c>
      <c r="I466">
        <v>4.2009999999999996</v>
      </c>
      <c r="J466">
        <v>0.72299999999999998</v>
      </c>
      <c r="K466">
        <v>2.61</v>
      </c>
      <c r="L466">
        <v>5.68</v>
      </c>
      <c r="M466">
        <v>11.2</v>
      </c>
      <c r="N466">
        <v>19.8</v>
      </c>
      <c r="O466">
        <v>20.78</v>
      </c>
      <c r="P466">
        <v>78.91</v>
      </c>
      <c r="Q466">
        <v>0.31</v>
      </c>
    </row>
    <row r="467" spans="1:17">
      <c r="A467">
        <v>803.6</v>
      </c>
      <c r="B467">
        <v>795.4</v>
      </c>
      <c r="C467">
        <v>506</v>
      </c>
      <c r="D467">
        <v>434</v>
      </c>
      <c r="E467" t="s">
        <v>66</v>
      </c>
      <c r="F467" t="b">
        <v>0</v>
      </c>
      <c r="G467" t="b">
        <v>0</v>
      </c>
      <c r="H467">
        <v>1.7</v>
      </c>
      <c r="I467">
        <v>4.2009999999999996</v>
      </c>
      <c r="J467">
        <v>0.72299999999999998</v>
      </c>
      <c r="K467">
        <v>2.61</v>
      </c>
      <c r="L467">
        <v>5.68</v>
      </c>
      <c r="M467">
        <v>11.2</v>
      </c>
      <c r="N467">
        <v>19.8</v>
      </c>
      <c r="O467">
        <v>20.78</v>
      </c>
      <c r="P467">
        <v>78.91</v>
      </c>
      <c r="Q467">
        <v>0.31</v>
      </c>
    </row>
    <row r="468" spans="1:17">
      <c r="A468">
        <v>804.6</v>
      </c>
      <c r="B468">
        <v>796.4</v>
      </c>
      <c r="C468">
        <v>506</v>
      </c>
      <c r="D468">
        <v>435</v>
      </c>
      <c r="E468" t="s">
        <v>66</v>
      </c>
      <c r="F468" t="b">
        <v>0</v>
      </c>
      <c r="G468" t="b">
        <v>0</v>
      </c>
      <c r="H468">
        <v>1</v>
      </c>
      <c r="I468">
        <v>4.2009999999999996</v>
      </c>
      <c r="J468">
        <v>0.72299999999999998</v>
      </c>
      <c r="K468">
        <v>2.61</v>
      </c>
      <c r="L468">
        <v>5.68</v>
      </c>
      <c r="M468">
        <v>11.2</v>
      </c>
      <c r="N468">
        <v>19.8</v>
      </c>
      <c r="O468">
        <v>20.78</v>
      </c>
      <c r="P468">
        <v>78.91</v>
      </c>
      <c r="Q468">
        <v>0.31</v>
      </c>
    </row>
    <row r="469" spans="1:17">
      <c r="A469">
        <v>805.5</v>
      </c>
      <c r="B469">
        <v>797.4</v>
      </c>
      <c r="C469">
        <v>507</v>
      </c>
      <c r="D469">
        <v>436</v>
      </c>
      <c r="E469" t="s">
        <v>66</v>
      </c>
      <c r="F469" t="b">
        <v>0</v>
      </c>
      <c r="G469" t="b">
        <v>0</v>
      </c>
      <c r="H469">
        <v>0.9</v>
      </c>
      <c r="I469">
        <v>4.2009999999999996</v>
      </c>
      <c r="J469">
        <v>0.72299999999999998</v>
      </c>
      <c r="K469">
        <v>2.61</v>
      </c>
      <c r="L469">
        <v>5.68</v>
      </c>
      <c r="M469">
        <v>11.2</v>
      </c>
      <c r="N469">
        <v>19.8</v>
      </c>
      <c r="O469">
        <v>20.78</v>
      </c>
      <c r="P469">
        <v>78.91</v>
      </c>
      <c r="Q469">
        <v>0.31</v>
      </c>
    </row>
    <row r="470" spans="1:17">
      <c r="A470">
        <v>806.2</v>
      </c>
      <c r="B470">
        <v>798.1</v>
      </c>
      <c r="C470">
        <v>508</v>
      </c>
      <c r="D470">
        <v>437</v>
      </c>
      <c r="E470" t="s">
        <v>66</v>
      </c>
      <c r="F470" t="b">
        <v>0</v>
      </c>
      <c r="G470" t="b">
        <v>0</v>
      </c>
      <c r="H470">
        <v>0.7</v>
      </c>
      <c r="I470">
        <v>4.2009999999999996</v>
      </c>
      <c r="J470">
        <v>0.72299999999999998</v>
      </c>
      <c r="K470">
        <v>2.61</v>
      </c>
      <c r="L470">
        <v>5.68</v>
      </c>
      <c r="M470">
        <v>11.2</v>
      </c>
      <c r="N470">
        <v>19.8</v>
      </c>
      <c r="O470">
        <v>20.78</v>
      </c>
      <c r="P470">
        <v>78.91</v>
      </c>
      <c r="Q470">
        <v>0.31</v>
      </c>
    </row>
    <row r="471" spans="1:17">
      <c r="A471">
        <v>807.9</v>
      </c>
      <c r="B471">
        <v>799.8</v>
      </c>
      <c r="C471">
        <v>509</v>
      </c>
      <c r="D471">
        <v>438</v>
      </c>
      <c r="E471" t="s">
        <v>66</v>
      </c>
      <c r="F471" t="b">
        <v>0</v>
      </c>
      <c r="G471" t="b">
        <v>0</v>
      </c>
      <c r="H471">
        <v>1.7</v>
      </c>
      <c r="I471">
        <v>4.2009999999999996</v>
      </c>
      <c r="J471">
        <v>0.72299999999999998</v>
      </c>
      <c r="K471">
        <v>2.61</v>
      </c>
      <c r="L471">
        <v>5.68</v>
      </c>
      <c r="M471">
        <v>11.2</v>
      </c>
      <c r="N471">
        <v>19.8</v>
      </c>
      <c r="O471">
        <v>20.78</v>
      </c>
      <c r="P471">
        <v>78.91</v>
      </c>
      <c r="Q471">
        <v>0.31</v>
      </c>
    </row>
    <row r="472" spans="1:17">
      <c r="A472">
        <v>808.9</v>
      </c>
      <c r="B472">
        <v>800.8</v>
      </c>
      <c r="C472">
        <v>509</v>
      </c>
      <c r="D472">
        <v>439</v>
      </c>
      <c r="E472" t="s">
        <v>66</v>
      </c>
      <c r="F472" t="b">
        <v>0</v>
      </c>
      <c r="G472" t="b">
        <v>0</v>
      </c>
      <c r="H472">
        <v>1</v>
      </c>
      <c r="I472">
        <v>4.2009999999999996</v>
      </c>
      <c r="J472">
        <v>0.72299999999999998</v>
      </c>
      <c r="K472">
        <v>2.61</v>
      </c>
      <c r="L472">
        <v>5.68</v>
      </c>
      <c r="M472">
        <v>11.2</v>
      </c>
      <c r="N472">
        <v>19.8</v>
      </c>
      <c r="O472">
        <v>20.78</v>
      </c>
      <c r="P472">
        <v>78.91</v>
      </c>
      <c r="Q472">
        <v>0.31</v>
      </c>
    </row>
    <row r="473" spans="1:17">
      <c r="A473">
        <v>810.2</v>
      </c>
      <c r="B473">
        <v>802.1</v>
      </c>
      <c r="C473">
        <v>510</v>
      </c>
      <c r="D473">
        <v>440</v>
      </c>
      <c r="E473" t="s">
        <v>66</v>
      </c>
      <c r="F473" t="b">
        <v>0</v>
      </c>
      <c r="G473" t="b">
        <v>0</v>
      </c>
      <c r="H473">
        <v>1.3</v>
      </c>
      <c r="I473">
        <v>4.2009999999999996</v>
      </c>
      <c r="J473">
        <v>0.72299999999999998</v>
      </c>
      <c r="K473">
        <v>2.61</v>
      </c>
      <c r="L473">
        <v>5.68</v>
      </c>
      <c r="M473">
        <v>11.2</v>
      </c>
      <c r="N473">
        <v>19.8</v>
      </c>
      <c r="O473">
        <v>20.78</v>
      </c>
      <c r="P473">
        <v>78.91</v>
      </c>
      <c r="Q473">
        <v>0.31</v>
      </c>
    </row>
    <row r="474" spans="1:17">
      <c r="A474">
        <v>810.9</v>
      </c>
      <c r="B474">
        <v>802.7</v>
      </c>
      <c r="C474">
        <v>511</v>
      </c>
      <c r="D474">
        <v>441</v>
      </c>
      <c r="E474" t="s">
        <v>66</v>
      </c>
      <c r="F474" t="b">
        <v>0</v>
      </c>
      <c r="G474" t="b">
        <v>0</v>
      </c>
      <c r="H474">
        <v>0.6</v>
      </c>
      <c r="I474">
        <v>4.2009999999999996</v>
      </c>
      <c r="J474">
        <v>0.72299999999999998</v>
      </c>
      <c r="K474">
        <v>2.61</v>
      </c>
      <c r="L474">
        <v>5.68</v>
      </c>
      <c r="M474">
        <v>11.2</v>
      </c>
      <c r="N474">
        <v>19.8</v>
      </c>
      <c r="O474">
        <v>20.78</v>
      </c>
      <c r="P474">
        <v>78.91</v>
      </c>
      <c r="Q474">
        <v>0.31</v>
      </c>
    </row>
    <row r="475" spans="1:17">
      <c r="A475">
        <v>812</v>
      </c>
      <c r="B475">
        <v>803.9</v>
      </c>
      <c r="C475">
        <v>512</v>
      </c>
      <c r="D475">
        <v>442</v>
      </c>
      <c r="E475" t="s">
        <v>66</v>
      </c>
      <c r="F475" t="b">
        <v>0</v>
      </c>
      <c r="G475" t="b">
        <v>0</v>
      </c>
      <c r="H475">
        <v>1.1000000000000001</v>
      </c>
      <c r="I475">
        <v>4.2009999999999996</v>
      </c>
      <c r="J475">
        <v>0.72299999999999998</v>
      </c>
      <c r="K475">
        <v>2.61</v>
      </c>
      <c r="L475">
        <v>5.68</v>
      </c>
      <c r="M475">
        <v>11.2</v>
      </c>
      <c r="N475">
        <v>19.8</v>
      </c>
      <c r="O475">
        <v>20.78</v>
      </c>
      <c r="P475">
        <v>78.91</v>
      </c>
      <c r="Q475">
        <v>0.31</v>
      </c>
    </row>
    <row r="476" spans="1:17">
      <c r="A476">
        <v>812.8</v>
      </c>
      <c r="B476">
        <v>804.7</v>
      </c>
      <c r="C476">
        <v>512</v>
      </c>
      <c r="D476">
        <v>443</v>
      </c>
      <c r="E476" t="s">
        <v>66</v>
      </c>
      <c r="F476" t="b">
        <v>0</v>
      </c>
      <c r="G476" t="b">
        <v>0</v>
      </c>
      <c r="H476">
        <v>0.9</v>
      </c>
      <c r="I476">
        <v>4.2009999999999996</v>
      </c>
      <c r="J476">
        <v>0.72299999999999998</v>
      </c>
      <c r="K476">
        <v>2.61</v>
      </c>
      <c r="L476">
        <v>5.68</v>
      </c>
      <c r="M476">
        <v>11.2</v>
      </c>
      <c r="N476">
        <v>19.8</v>
      </c>
      <c r="O476">
        <v>20.78</v>
      </c>
      <c r="P476">
        <v>78.91</v>
      </c>
      <c r="Q476">
        <v>0.31</v>
      </c>
    </row>
    <row r="477" spans="1:17">
      <c r="A477">
        <v>814.1</v>
      </c>
      <c r="B477">
        <v>806</v>
      </c>
      <c r="C477">
        <v>513</v>
      </c>
      <c r="D477">
        <v>444</v>
      </c>
      <c r="E477" t="s">
        <v>66</v>
      </c>
      <c r="F477" t="b">
        <v>0</v>
      </c>
      <c r="G477" t="b">
        <v>0</v>
      </c>
      <c r="H477">
        <v>1.3</v>
      </c>
      <c r="I477">
        <v>4.2009999999999996</v>
      </c>
      <c r="J477">
        <v>0.72299999999999998</v>
      </c>
      <c r="K477">
        <v>2.61</v>
      </c>
      <c r="L477">
        <v>5.68</v>
      </c>
      <c r="M477">
        <v>11.2</v>
      </c>
      <c r="N477">
        <v>19.8</v>
      </c>
      <c r="O477">
        <v>20.78</v>
      </c>
      <c r="P477">
        <v>78.91</v>
      </c>
      <c r="Q477">
        <v>0.31</v>
      </c>
    </row>
    <row r="478" spans="1:17">
      <c r="A478">
        <v>815.5</v>
      </c>
      <c r="B478">
        <v>807.4</v>
      </c>
      <c r="C478">
        <v>514</v>
      </c>
      <c r="D478">
        <v>445</v>
      </c>
      <c r="E478" t="s">
        <v>66</v>
      </c>
      <c r="F478" t="b">
        <v>0</v>
      </c>
      <c r="G478" t="b">
        <v>0</v>
      </c>
      <c r="H478">
        <v>1.4</v>
      </c>
      <c r="I478">
        <v>4.2009999999999996</v>
      </c>
      <c r="J478">
        <v>0.72299999999999998</v>
      </c>
      <c r="K478">
        <v>2.61</v>
      </c>
      <c r="L478">
        <v>5.68</v>
      </c>
      <c r="M478">
        <v>11.2</v>
      </c>
      <c r="N478">
        <v>19.8</v>
      </c>
      <c r="O478">
        <v>20.78</v>
      </c>
      <c r="P478">
        <v>78.91</v>
      </c>
      <c r="Q478">
        <v>0.31</v>
      </c>
    </row>
    <row r="479" spans="1:17">
      <c r="A479">
        <v>816.5</v>
      </c>
      <c r="B479">
        <v>808.4</v>
      </c>
      <c r="C479">
        <v>515</v>
      </c>
      <c r="D479">
        <v>446</v>
      </c>
      <c r="E479" t="s">
        <v>66</v>
      </c>
      <c r="F479" t="b">
        <v>0</v>
      </c>
      <c r="G479" t="b">
        <v>0</v>
      </c>
      <c r="H479">
        <v>1</v>
      </c>
      <c r="I479">
        <v>4.2009999999999996</v>
      </c>
      <c r="J479">
        <v>0.72299999999999998</v>
      </c>
      <c r="K479">
        <v>2.61</v>
      </c>
      <c r="L479">
        <v>5.68</v>
      </c>
      <c r="M479">
        <v>11.2</v>
      </c>
      <c r="N479">
        <v>19.8</v>
      </c>
      <c r="O479">
        <v>20.78</v>
      </c>
      <c r="P479">
        <v>78.91</v>
      </c>
      <c r="Q479">
        <v>0.31</v>
      </c>
    </row>
    <row r="480" spans="1:17">
      <c r="A480">
        <v>817.5</v>
      </c>
      <c r="B480">
        <v>809.4</v>
      </c>
      <c r="C480">
        <v>516</v>
      </c>
      <c r="D480">
        <v>447</v>
      </c>
      <c r="E480" t="s">
        <v>66</v>
      </c>
      <c r="F480" t="b">
        <v>0</v>
      </c>
      <c r="G480" t="b">
        <v>0</v>
      </c>
      <c r="H480">
        <v>1</v>
      </c>
      <c r="I480">
        <v>4.2009999999999996</v>
      </c>
      <c r="J480">
        <v>0.72299999999999998</v>
      </c>
      <c r="K480">
        <v>2.61</v>
      </c>
      <c r="L480">
        <v>5.68</v>
      </c>
      <c r="M480">
        <v>11.2</v>
      </c>
      <c r="N480">
        <v>19.8</v>
      </c>
      <c r="O480">
        <v>20.78</v>
      </c>
      <c r="P480">
        <v>78.91</v>
      </c>
      <c r="Q480">
        <v>0.31</v>
      </c>
    </row>
    <row r="481" spans="1:17">
      <c r="A481">
        <v>819.2</v>
      </c>
      <c r="B481">
        <v>811</v>
      </c>
      <c r="C481">
        <v>517</v>
      </c>
      <c r="D481">
        <v>448</v>
      </c>
      <c r="E481" t="s">
        <v>66</v>
      </c>
      <c r="F481" t="b">
        <v>0</v>
      </c>
      <c r="G481" t="b">
        <v>0</v>
      </c>
      <c r="H481">
        <v>1.7</v>
      </c>
      <c r="I481">
        <v>4.2009999999999996</v>
      </c>
      <c r="J481">
        <v>0.72299999999999998</v>
      </c>
      <c r="K481">
        <v>2.61</v>
      </c>
      <c r="L481">
        <v>5.68</v>
      </c>
      <c r="M481">
        <v>11.2</v>
      </c>
      <c r="N481">
        <v>19.8</v>
      </c>
      <c r="O481">
        <v>20.78</v>
      </c>
      <c r="P481">
        <v>78.91</v>
      </c>
      <c r="Q481">
        <v>0.31</v>
      </c>
    </row>
    <row r="482" spans="1:17">
      <c r="A482">
        <v>820</v>
      </c>
      <c r="B482">
        <v>811.9</v>
      </c>
      <c r="C482">
        <v>517</v>
      </c>
      <c r="D482">
        <v>449</v>
      </c>
      <c r="E482" t="s">
        <v>66</v>
      </c>
      <c r="F482" t="b">
        <v>0</v>
      </c>
      <c r="G482" t="b">
        <v>0</v>
      </c>
      <c r="H482">
        <v>0.8</v>
      </c>
      <c r="I482">
        <v>4.2009999999999996</v>
      </c>
      <c r="J482">
        <v>0.72299999999999998</v>
      </c>
      <c r="K482">
        <v>2.61</v>
      </c>
      <c r="L482">
        <v>5.68</v>
      </c>
      <c r="M482">
        <v>11.2</v>
      </c>
      <c r="N482">
        <v>19.8</v>
      </c>
      <c r="O482">
        <v>20.78</v>
      </c>
      <c r="P482">
        <v>78.91</v>
      </c>
      <c r="Q482">
        <v>0.31</v>
      </c>
    </row>
    <row r="483" spans="1:17">
      <c r="A483">
        <v>821</v>
      </c>
      <c r="B483">
        <v>812.9</v>
      </c>
      <c r="C483">
        <v>518</v>
      </c>
      <c r="D483">
        <v>450</v>
      </c>
      <c r="E483" t="s">
        <v>66</v>
      </c>
      <c r="F483" t="b">
        <v>0</v>
      </c>
      <c r="G483" t="b">
        <v>0</v>
      </c>
      <c r="H483">
        <v>1</v>
      </c>
      <c r="I483" t="s">
        <v>159</v>
      </c>
      <c r="J483" t="s">
        <v>159</v>
      </c>
      <c r="K483" t="s">
        <v>159</v>
      </c>
      <c r="L483" t="s">
        <v>159</v>
      </c>
      <c r="M483" t="s">
        <v>159</v>
      </c>
      <c r="N483" t="s">
        <v>159</v>
      </c>
      <c r="O483" t="s">
        <v>159</v>
      </c>
      <c r="P483" t="s">
        <v>159</v>
      </c>
      <c r="Q483" t="s">
        <v>159</v>
      </c>
    </row>
    <row r="484" spans="1:17">
      <c r="A484">
        <v>822</v>
      </c>
      <c r="B484">
        <v>813.9</v>
      </c>
      <c r="C484">
        <v>519</v>
      </c>
      <c r="D484">
        <v>451</v>
      </c>
      <c r="E484" t="s">
        <v>66</v>
      </c>
      <c r="F484" t="b">
        <v>0</v>
      </c>
      <c r="G484" t="b">
        <v>0</v>
      </c>
      <c r="H484">
        <v>1</v>
      </c>
      <c r="I484" t="s">
        <v>159</v>
      </c>
      <c r="J484" t="s">
        <v>159</v>
      </c>
      <c r="K484" t="s">
        <v>159</v>
      </c>
      <c r="L484" t="s">
        <v>159</v>
      </c>
      <c r="M484" t="s">
        <v>159</v>
      </c>
      <c r="N484" t="s">
        <v>159</v>
      </c>
      <c r="O484" t="s">
        <v>159</v>
      </c>
      <c r="P484" t="s">
        <v>159</v>
      </c>
      <c r="Q484" t="s">
        <v>159</v>
      </c>
    </row>
    <row r="485" spans="1:17">
      <c r="A485">
        <v>823.4</v>
      </c>
      <c r="B485">
        <v>815.3</v>
      </c>
      <c r="C485">
        <v>520</v>
      </c>
      <c r="D485">
        <v>452</v>
      </c>
      <c r="E485" t="s">
        <v>66</v>
      </c>
      <c r="F485" t="b">
        <v>0</v>
      </c>
      <c r="G485" t="b">
        <v>0</v>
      </c>
      <c r="H485">
        <v>1.4</v>
      </c>
      <c r="I485" t="s">
        <v>159</v>
      </c>
      <c r="J485" t="s">
        <v>159</v>
      </c>
      <c r="K485" t="s">
        <v>159</v>
      </c>
      <c r="L485" t="s">
        <v>159</v>
      </c>
      <c r="M485" t="s">
        <v>159</v>
      </c>
      <c r="N485" t="s">
        <v>159</v>
      </c>
      <c r="O485" t="s">
        <v>159</v>
      </c>
      <c r="P485" t="s">
        <v>159</v>
      </c>
      <c r="Q485" t="s">
        <v>159</v>
      </c>
    </row>
    <row r="486" spans="1:17">
      <c r="A486">
        <v>824.7</v>
      </c>
      <c r="B486">
        <v>816.6</v>
      </c>
      <c r="C486">
        <v>521</v>
      </c>
      <c r="D486">
        <v>453</v>
      </c>
      <c r="E486" t="s">
        <v>66</v>
      </c>
      <c r="F486" t="b">
        <v>0</v>
      </c>
      <c r="G486" t="b">
        <v>0</v>
      </c>
      <c r="H486">
        <v>1.3</v>
      </c>
      <c r="I486">
        <v>4.5609999999999999</v>
      </c>
      <c r="J486" t="s">
        <v>159</v>
      </c>
      <c r="K486" t="s">
        <v>159</v>
      </c>
      <c r="L486" t="s">
        <v>159</v>
      </c>
      <c r="M486" t="s">
        <v>159</v>
      </c>
      <c r="N486" t="s">
        <v>159</v>
      </c>
      <c r="O486" t="s">
        <v>159</v>
      </c>
      <c r="P486" t="s">
        <v>159</v>
      </c>
      <c r="Q486" t="s">
        <v>159</v>
      </c>
    </row>
    <row r="487" spans="1:17">
      <c r="A487">
        <v>825.5</v>
      </c>
      <c r="B487">
        <v>817.3</v>
      </c>
      <c r="C487">
        <v>521</v>
      </c>
      <c r="D487">
        <v>454</v>
      </c>
      <c r="E487" t="s">
        <v>66</v>
      </c>
      <c r="F487" t="b">
        <v>0</v>
      </c>
      <c r="G487" t="b">
        <v>0</v>
      </c>
      <c r="H487">
        <v>0.8</v>
      </c>
      <c r="I487">
        <v>4.5609999999999999</v>
      </c>
      <c r="J487" t="s">
        <v>159</v>
      </c>
      <c r="K487" t="s">
        <v>159</v>
      </c>
      <c r="L487" t="s">
        <v>159</v>
      </c>
      <c r="M487" t="s">
        <v>159</v>
      </c>
      <c r="N487" t="s">
        <v>159</v>
      </c>
      <c r="O487" t="s">
        <v>159</v>
      </c>
      <c r="P487" t="s">
        <v>159</v>
      </c>
      <c r="Q487" t="s">
        <v>159</v>
      </c>
    </row>
    <row r="488" spans="1:17">
      <c r="A488">
        <v>827.1</v>
      </c>
      <c r="B488">
        <v>818.9</v>
      </c>
      <c r="C488">
        <v>523</v>
      </c>
      <c r="D488">
        <v>455</v>
      </c>
      <c r="E488" t="s">
        <v>66</v>
      </c>
      <c r="F488" t="b">
        <v>0</v>
      </c>
      <c r="G488" t="b">
        <v>0</v>
      </c>
      <c r="H488">
        <v>1.6</v>
      </c>
      <c r="I488">
        <v>4.5609999999999999</v>
      </c>
      <c r="J488" t="s">
        <v>159</v>
      </c>
      <c r="K488" t="s">
        <v>159</v>
      </c>
      <c r="L488" t="s">
        <v>159</v>
      </c>
      <c r="M488" t="s">
        <v>159</v>
      </c>
      <c r="N488" t="s">
        <v>159</v>
      </c>
      <c r="O488" t="s">
        <v>159</v>
      </c>
      <c r="P488" t="s">
        <v>159</v>
      </c>
      <c r="Q488" t="s">
        <v>159</v>
      </c>
    </row>
    <row r="489" spans="1:17">
      <c r="A489">
        <v>830.6</v>
      </c>
      <c r="B489">
        <v>822.4</v>
      </c>
      <c r="C489">
        <v>525</v>
      </c>
      <c r="D489">
        <v>456</v>
      </c>
      <c r="E489" t="s">
        <v>66</v>
      </c>
      <c r="F489" t="b">
        <v>0</v>
      </c>
      <c r="G489" t="b">
        <v>0</v>
      </c>
      <c r="H489">
        <v>3.5</v>
      </c>
      <c r="I489">
        <v>4.5609999999999999</v>
      </c>
      <c r="J489" t="s">
        <v>159</v>
      </c>
      <c r="K489" t="s">
        <v>159</v>
      </c>
      <c r="L489" t="s">
        <v>159</v>
      </c>
      <c r="M489" t="s">
        <v>159</v>
      </c>
      <c r="N489" t="s">
        <v>159</v>
      </c>
      <c r="O489" t="s">
        <v>159</v>
      </c>
      <c r="P489" t="s">
        <v>159</v>
      </c>
      <c r="Q489" t="s">
        <v>159</v>
      </c>
    </row>
    <row r="490" spans="1:17">
      <c r="A490">
        <v>832.1</v>
      </c>
      <c r="B490">
        <v>824</v>
      </c>
      <c r="C490">
        <v>526</v>
      </c>
      <c r="D490">
        <v>457</v>
      </c>
      <c r="E490" t="s">
        <v>66</v>
      </c>
      <c r="F490" t="b">
        <v>0</v>
      </c>
      <c r="G490" t="b">
        <v>0</v>
      </c>
      <c r="H490">
        <v>1.5</v>
      </c>
      <c r="I490">
        <v>4.5609999999999999</v>
      </c>
      <c r="J490" t="s">
        <v>159</v>
      </c>
      <c r="K490" t="s">
        <v>159</v>
      </c>
      <c r="L490" t="s">
        <v>159</v>
      </c>
      <c r="M490" t="s">
        <v>159</v>
      </c>
      <c r="N490" t="s">
        <v>159</v>
      </c>
      <c r="O490" t="s">
        <v>159</v>
      </c>
      <c r="P490" t="s">
        <v>159</v>
      </c>
      <c r="Q490" t="s">
        <v>159</v>
      </c>
    </row>
    <row r="491" spans="1:17">
      <c r="A491">
        <v>833.9</v>
      </c>
      <c r="B491">
        <v>825.8</v>
      </c>
      <c r="C491">
        <v>527</v>
      </c>
      <c r="D491">
        <v>458</v>
      </c>
      <c r="E491" t="s">
        <v>66</v>
      </c>
      <c r="F491" t="b">
        <v>0</v>
      </c>
      <c r="G491" t="b">
        <v>0</v>
      </c>
      <c r="H491">
        <v>1.8</v>
      </c>
      <c r="I491">
        <v>4.5609999999999999</v>
      </c>
      <c r="J491" t="s">
        <v>159</v>
      </c>
      <c r="K491" t="s">
        <v>159</v>
      </c>
      <c r="L491" t="s">
        <v>159</v>
      </c>
      <c r="M491" t="s">
        <v>159</v>
      </c>
      <c r="N491" t="s">
        <v>159</v>
      </c>
      <c r="O491" t="s">
        <v>159</v>
      </c>
      <c r="P491" t="s">
        <v>159</v>
      </c>
      <c r="Q491" t="s">
        <v>159</v>
      </c>
    </row>
    <row r="492" spans="1:17">
      <c r="A492">
        <v>835</v>
      </c>
      <c r="B492">
        <v>826.9</v>
      </c>
      <c r="C492">
        <v>528</v>
      </c>
      <c r="D492">
        <v>459</v>
      </c>
      <c r="E492" t="s">
        <v>66</v>
      </c>
      <c r="F492" t="b">
        <v>0</v>
      </c>
      <c r="G492" t="b">
        <v>0</v>
      </c>
      <c r="H492">
        <v>1.2</v>
      </c>
      <c r="I492">
        <v>4.5609999999999999</v>
      </c>
      <c r="J492" t="s">
        <v>159</v>
      </c>
      <c r="K492" t="s">
        <v>159</v>
      </c>
      <c r="L492" t="s">
        <v>159</v>
      </c>
      <c r="M492" t="s">
        <v>159</v>
      </c>
      <c r="N492" t="s">
        <v>159</v>
      </c>
      <c r="O492" t="s">
        <v>159</v>
      </c>
      <c r="P492" t="s">
        <v>159</v>
      </c>
      <c r="Q492" t="s">
        <v>159</v>
      </c>
    </row>
    <row r="493" spans="1:17">
      <c r="A493">
        <v>836.4</v>
      </c>
      <c r="B493">
        <v>828.3</v>
      </c>
      <c r="C493">
        <v>529</v>
      </c>
      <c r="D493">
        <v>460</v>
      </c>
      <c r="E493" t="s">
        <v>66</v>
      </c>
      <c r="F493" t="b">
        <v>0</v>
      </c>
      <c r="G493" t="b">
        <v>0</v>
      </c>
      <c r="H493">
        <v>1.4</v>
      </c>
      <c r="I493">
        <v>4.5609999999999999</v>
      </c>
      <c r="J493" t="s">
        <v>159</v>
      </c>
      <c r="K493" t="s">
        <v>159</v>
      </c>
      <c r="L493" t="s">
        <v>159</v>
      </c>
      <c r="M493" t="s">
        <v>159</v>
      </c>
      <c r="N493" t="s">
        <v>159</v>
      </c>
      <c r="O493" t="s">
        <v>159</v>
      </c>
      <c r="P493" t="s">
        <v>159</v>
      </c>
      <c r="Q493" t="s">
        <v>159</v>
      </c>
    </row>
    <row r="494" spans="1:17">
      <c r="A494">
        <v>836.9</v>
      </c>
      <c r="B494">
        <v>828.8</v>
      </c>
      <c r="C494">
        <v>530</v>
      </c>
      <c r="D494">
        <v>461</v>
      </c>
      <c r="E494" t="s">
        <v>66</v>
      </c>
      <c r="F494" t="b">
        <v>0</v>
      </c>
      <c r="G494" t="b">
        <v>0</v>
      </c>
      <c r="H494">
        <v>0.5</v>
      </c>
      <c r="I494">
        <v>4.5609999999999999</v>
      </c>
      <c r="J494" t="s">
        <v>159</v>
      </c>
      <c r="K494" t="s">
        <v>159</v>
      </c>
      <c r="L494" t="s">
        <v>159</v>
      </c>
      <c r="M494" t="s">
        <v>159</v>
      </c>
      <c r="N494" t="s">
        <v>159</v>
      </c>
      <c r="O494" t="s">
        <v>159</v>
      </c>
      <c r="P494" t="s">
        <v>159</v>
      </c>
      <c r="Q494" t="s">
        <v>159</v>
      </c>
    </row>
    <row r="495" spans="1:17">
      <c r="A495">
        <v>838.2</v>
      </c>
      <c r="B495">
        <v>830.1</v>
      </c>
      <c r="C495">
        <v>531</v>
      </c>
      <c r="D495">
        <v>462</v>
      </c>
      <c r="E495" t="s">
        <v>66</v>
      </c>
      <c r="F495" t="b">
        <v>0</v>
      </c>
      <c r="G495" t="b">
        <v>0</v>
      </c>
      <c r="H495">
        <v>1.3</v>
      </c>
      <c r="I495">
        <v>4.5609999999999999</v>
      </c>
      <c r="J495" t="s">
        <v>159</v>
      </c>
      <c r="K495" t="s">
        <v>159</v>
      </c>
      <c r="L495" t="s">
        <v>159</v>
      </c>
      <c r="M495" t="s">
        <v>159</v>
      </c>
      <c r="N495" t="s">
        <v>159</v>
      </c>
      <c r="O495" t="s">
        <v>159</v>
      </c>
      <c r="P495" t="s">
        <v>159</v>
      </c>
      <c r="Q495" t="s">
        <v>159</v>
      </c>
    </row>
    <row r="496" spans="1:17">
      <c r="A496">
        <v>839.3</v>
      </c>
      <c r="B496">
        <v>831.1</v>
      </c>
      <c r="C496">
        <v>531</v>
      </c>
      <c r="D496">
        <v>463</v>
      </c>
      <c r="E496" t="s">
        <v>66</v>
      </c>
      <c r="F496" t="b">
        <v>0</v>
      </c>
      <c r="G496" t="b">
        <v>0</v>
      </c>
      <c r="H496">
        <v>1</v>
      </c>
      <c r="I496">
        <v>4.5609999999999999</v>
      </c>
      <c r="J496" t="s">
        <v>159</v>
      </c>
      <c r="K496" t="s">
        <v>159</v>
      </c>
      <c r="L496" t="s">
        <v>159</v>
      </c>
      <c r="M496" t="s">
        <v>159</v>
      </c>
      <c r="N496" t="s">
        <v>159</v>
      </c>
      <c r="O496" t="s">
        <v>159</v>
      </c>
      <c r="P496" t="s">
        <v>159</v>
      </c>
      <c r="Q496" t="s">
        <v>159</v>
      </c>
    </row>
    <row r="497" spans="1:17">
      <c r="A497">
        <v>840.7</v>
      </c>
      <c r="B497">
        <v>832.6</v>
      </c>
      <c r="C497">
        <v>532</v>
      </c>
      <c r="D497">
        <v>464</v>
      </c>
      <c r="E497" t="s">
        <v>66</v>
      </c>
      <c r="F497" t="b">
        <v>0</v>
      </c>
      <c r="G497" t="b">
        <v>0</v>
      </c>
      <c r="H497">
        <v>1.4</v>
      </c>
      <c r="I497">
        <v>4.5609999999999999</v>
      </c>
      <c r="J497" t="s">
        <v>159</v>
      </c>
      <c r="K497" t="s">
        <v>159</v>
      </c>
      <c r="L497" t="s">
        <v>159</v>
      </c>
      <c r="M497" t="s">
        <v>159</v>
      </c>
      <c r="N497" t="s">
        <v>159</v>
      </c>
      <c r="O497" t="s">
        <v>159</v>
      </c>
      <c r="P497" t="s">
        <v>159</v>
      </c>
      <c r="Q497" t="s">
        <v>159</v>
      </c>
    </row>
    <row r="498" spans="1:17">
      <c r="A498">
        <v>841.9</v>
      </c>
      <c r="B498">
        <v>833.8</v>
      </c>
      <c r="C498">
        <v>533</v>
      </c>
      <c r="D498">
        <v>465</v>
      </c>
      <c r="E498" t="s">
        <v>66</v>
      </c>
      <c r="F498" t="b">
        <v>0</v>
      </c>
      <c r="G498" t="b">
        <v>0</v>
      </c>
      <c r="H498">
        <v>1.2</v>
      </c>
      <c r="I498">
        <v>4.5609999999999999</v>
      </c>
      <c r="J498" t="s">
        <v>159</v>
      </c>
      <c r="K498" t="s">
        <v>159</v>
      </c>
      <c r="L498" t="s">
        <v>159</v>
      </c>
      <c r="M498" t="s">
        <v>159</v>
      </c>
      <c r="N498" t="s">
        <v>159</v>
      </c>
      <c r="O498" t="s">
        <v>159</v>
      </c>
      <c r="P498" t="s">
        <v>159</v>
      </c>
      <c r="Q498" t="s">
        <v>159</v>
      </c>
    </row>
    <row r="499" spans="1:17">
      <c r="A499">
        <v>843.8</v>
      </c>
      <c r="B499">
        <v>835.6</v>
      </c>
      <c r="C499">
        <v>535</v>
      </c>
      <c r="D499">
        <v>466</v>
      </c>
      <c r="E499" t="s">
        <v>66</v>
      </c>
      <c r="F499" t="b">
        <v>0</v>
      </c>
      <c r="G499" t="b">
        <v>0</v>
      </c>
      <c r="H499">
        <v>1.9</v>
      </c>
      <c r="I499">
        <v>4.5609999999999999</v>
      </c>
      <c r="J499" t="s">
        <v>159</v>
      </c>
      <c r="K499" t="s">
        <v>159</v>
      </c>
      <c r="L499" t="s">
        <v>159</v>
      </c>
      <c r="M499" t="s">
        <v>159</v>
      </c>
      <c r="N499" t="s">
        <v>159</v>
      </c>
      <c r="O499" t="s">
        <v>159</v>
      </c>
      <c r="P499" t="s">
        <v>159</v>
      </c>
      <c r="Q499" t="s">
        <v>159</v>
      </c>
    </row>
    <row r="500" spans="1:17">
      <c r="A500">
        <v>846.6</v>
      </c>
      <c r="B500">
        <v>838.5</v>
      </c>
      <c r="C500">
        <v>537</v>
      </c>
      <c r="D500">
        <v>467</v>
      </c>
      <c r="E500" t="s">
        <v>66</v>
      </c>
      <c r="F500" t="b">
        <v>0</v>
      </c>
      <c r="G500" t="b">
        <v>0</v>
      </c>
      <c r="H500">
        <v>2.9</v>
      </c>
      <c r="I500" t="s">
        <v>159</v>
      </c>
      <c r="J500" t="s">
        <v>159</v>
      </c>
      <c r="K500" t="s">
        <v>159</v>
      </c>
      <c r="L500" t="s">
        <v>159</v>
      </c>
      <c r="M500" t="s">
        <v>159</v>
      </c>
      <c r="N500" t="s">
        <v>159</v>
      </c>
      <c r="O500" t="s">
        <v>159</v>
      </c>
      <c r="P500" t="s">
        <v>159</v>
      </c>
      <c r="Q500" t="s">
        <v>159</v>
      </c>
    </row>
    <row r="501" spans="1:17">
      <c r="A501">
        <v>848.5</v>
      </c>
      <c r="B501">
        <v>840.3</v>
      </c>
      <c r="C501">
        <v>538</v>
      </c>
      <c r="D501">
        <v>468</v>
      </c>
      <c r="E501" t="s">
        <v>66</v>
      </c>
      <c r="F501" t="b">
        <v>0</v>
      </c>
      <c r="G501" t="b">
        <v>0</v>
      </c>
      <c r="H501">
        <v>1.8</v>
      </c>
      <c r="I501" t="s">
        <v>159</v>
      </c>
      <c r="J501" t="s">
        <v>159</v>
      </c>
      <c r="K501" t="s">
        <v>159</v>
      </c>
      <c r="L501" t="s">
        <v>159</v>
      </c>
      <c r="M501" t="s">
        <v>159</v>
      </c>
      <c r="N501" t="s">
        <v>159</v>
      </c>
      <c r="O501" t="s">
        <v>159</v>
      </c>
      <c r="P501" t="s">
        <v>159</v>
      </c>
      <c r="Q501" t="s">
        <v>159</v>
      </c>
    </row>
    <row r="502" spans="1:17">
      <c r="A502">
        <v>849.8</v>
      </c>
      <c r="B502">
        <v>841.7</v>
      </c>
      <c r="C502">
        <v>539</v>
      </c>
      <c r="D502">
        <v>469</v>
      </c>
      <c r="E502" t="s">
        <v>66</v>
      </c>
      <c r="F502" t="b">
        <v>0</v>
      </c>
      <c r="G502" t="b">
        <v>0</v>
      </c>
      <c r="H502">
        <v>1.3</v>
      </c>
      <c r="I502">
        <v>4.5529999999999999</v>
      </c>
      <c r="J502">
        <v>0.90400000000000003</v>
      </c>
      <c r="K502">
        <v>3.37</v>
      </c>
      <c r="L502">
        <v>6.59</v>
      </c>
      <c r="M502">
        <v>12.2</v>
      </c>
      <c r="N502">
        <v>20.3</v>
      </c>
      <c r="O502">
        <v>15.23</v>
      </c>
      <c r="P502">
        <v>84.3</v>
      </c>
      <c r="Q502">
        <v>0.47</v>
      </c>
    </row>
    <row r="503" spans="1:17">
      <c r="A503">
        <v>851.4</v>
      </c>
      <c r="B503">
        <v>843.2</v>
      </c>
      <c r="C503">
        <v>540</v>
      </c>
      <c r="D503">
        <v>470</v>
      </c>
      <c r="E503" t="s">
        <v>66</v>
      </c>
      <c r="F503" t="b">
        <v>0</v>
      </c>
      <c r="G503" t="b">
        <v>0</v>
      </c>
      <c r="H503">
        <v>1.6</v>
      </c>
      <c r="I503">
        <v>4.5529999999999999</v>
      </c>
      <c r="J503">
        <v>0.90400000000000003</v>
      </c>
      <c r="K503">
        <v>3.37</v>
      </c>
      <c r="L503">
        <v>6.59</v>
      </c>
      <c r="M503">
        <v>12.2</v>
      </c>
      <c r="N503">
        <v>20.3</v>
      </c>
      <c r="O503">
        <v>15.23</v>
      </c>
      <c r="P503">
        <v>84.3</v>
      </c>
      <c r="Q503">
        <v>0.47</v>
      </c>
    </row>
    <row r="504" spans="1:17">
      <c r="A504">
        <v>853.8</v>
      </c>
      <c r="B504">
        <v>845.7</v>
      </c>
      <c r="C504">
        <v>542</v>
      </c>
      <c r="D504">
        <v>471</v>
      </c>
      <c r="E504" t="s">
        <v>66</v>
      </c>
      <c r="F504" t="b">
        <v>0</v>
      </c>
      <c r="G504" t="b">
        <v>0</v>
      </c>
      <c r="H504">
        <v>2.5</v>
      </c>
      <c r="I504">
        <v>4.5529999999999999</v>
      </c>
      <c r="J504">
        <v>0.90400000000000003</v>
      </c>
      <c r="K504">
        <v>3.37</v>
      </c>
      <c r="L504">
        <v>6.59</v>
      </c>
      <c r="M504">
        <v>12.2</v>
      </c>
      <c r="N504">
        <v>20.3</v>
      </c>
      <c r="O504">
        <v>15.23</v>
      </c>
      <c r="P504">
        <v>84.3</v>
      </c>
      <c r="Q504">
        <v>0.47</v>
      </c>
    </row>
    <row r="505" spans="1:17">
      <c r="A505">
        <v>855.5</v>
      </c>
      <c r="B505">
        <v>847.4</v>
      </c>
      <c r="C505">
        <v>543</v>
      </c>
      <c r="D505">
        <v>472</v>
      </c>
      <c r="E505" t="s">
        <v>66</v>
      </c>
      <c r="F505" t="b">
        <v>0</v>
      </c>
      <c r="G505" t="b">
        <v>0</v>
      </c>
      <c r="H505">
        <v>1.7</v>
      </c>
      <c r="I505">
        <v>4.5529999999999999</v>
      </c>
      <c r="J505">
        <v>0.90400000000000003</v>
      </c>
      <c r="K505">
        <v>3.37</v>
      </c>
      <c r="L505">
        <v>6.59</v>
      </c>
      <c r="M505">
        <v>12.2</v>
      </c>
      <c r="N505">
        <v>20.3</v>
      </c>
      <c r="O505">
        <v>15.23</v>
      </c>
      <c r="P505">
        <v>84.3</v>
      </c>
      <c r="Q505">
        <v>0.47</v>
      </c>
    </row>
    <row r="506" spans="1:17">
      <c r="A506">
        <v>857.6</v>
      </c>
      <c r="B506">
        <v>849.5</v>
      </c>
      <c r="C506">
        <v>545</v>
      </c>
      <c r="D506">
        <v>473</v>
      </c>
      <c r="E506" t="s">
        <v>66</v>
      </c>
      <c r="F506" t="b">
        <v>0</v>
      </c>
      <c r="G506" t="b">
        <v>0</v>
      </c>
      <c r="H506">
        <v>2.1</v>
      </c>
      <c r="I506">
        <v>4.5529999999999999</v>
      </c>
      <c r="J506">
        <v>0.90400000000000003</v>
      </c>
      <c r="K506">
        <v>3.37</v>
      </c>
      <c r="L506">
        <v>6.59</v>
      </c>
      <c r="M506">
        <v>12.2</v>
      </c>
      <c r="N506">
        <v>20.3</v>
      </c>
      <c r="O506">
        <v>15.23</v>
      </c>
      <c r="P506">
        <v>84.3</v>
      </c>
      <c r="Q506">
        <v>0.47</v>
      </c>
    </row>
    <row r="507" spans="1:17">
      <c r="A507">
        <v>859.7</v>
      </c>
      <c r="B507">
        <v>851.5</v>
      </c>
      <c r="C507">
        <v>546</v>
      </c>
      <c r="D507">
        <v>474</v>
      </c>
      <c r="E507" t="s">
        <v>66</v>
      </c>
      <c r="F507" t="b">
        <v>0</v>
      </c>
      <c r="G507" t="b">
        <v>0</v>
      </c>
      <c r="H507">
        <v>2</v>
      </c>
      <c r="I507">
        <v>4.5529999999999999</v>
      </c>
      <c r="J507">
        <v>0.90400000000000003</v>
      </c>
      <c r="K507">
        <v>3.37</v>
      </c>
      <c r="L507">
        <v>6.59</v>
      </c>
      <c r="M507">
        <v>12.2</v>
      </c>
      <c r="N507">
        <v>20.3</v>
      </c>
      <c r="O507">
        <v>15.23</v>
      </c>
      <c r="P507">
        <v>84.3</v>
      </c>
      <c r="Q507">
        <v>0.47</v>
      </c>
    </row>
    <row r="508" spans="1:17">
      <c r="A508">
        <v>861.5</v>
      </c>
      <c r="B508">
        <v>853.4</v>
      </c>
      <c r="C508">
        <v>547</v>
      </c>
      <c r="D508">
        <v>475</v>
      </c>
      <c r="E508" t="s">
        <v>66</v>
      </c>
      <c r="F508" t="b">
        <v>0</v>
      </c>
      <c r="G508" t="b">
        <v>0</v>
      </c>
      <c r="H508">
        <v>1.8</v>
      </c>
      <c r="I508">
        <v>4.5529999999999999</v>
      </c>
      <c r="J508">
        <v>0.90400000000000003</v>
      </c>
      <c r="K508">
        <v>3.37</v>
      </c>
      <c r="L508">
        <v>6.59</v>
      </c>
      <c r="M508">
        <v>12.2</v>
      </c>
      <c r="N508">
        <v>20.3</v>
      </c>
      <c r="O508">
        <v>15.23</v>
      </c>
      <c r="P508">
        <v>84.3</v>
      </c>
      <c r="Q508">
        <v>0.47</v>
      </c>
    </row>
    <row r="509" spans="1:17">
      <c r="A509">
        <v>862.5</v>
      </c>
      <c r="B509">
        <v>854.4</v>
      </c>
      <c r="C509">
        <v>548</v>
      </c>
      <c r="D509">
        <v>476</v>
      </c>
      <c r="E509" t="s">
        <v>66</v>
      </c>
      <c r="F509" t="b">
        <v>0</v>
      </c>
      <c r="G509" t="b">
        <v>0</v>
      </c>
      <c r="H509">
        <v>1.1000000000000001</v>
      </c>
      <c r="I509">
        <v>4.5529999999999999</v>
      </c>
      <c r="J509">
        <v>0.90400000000000003</v>
      </c>
      <c r="K509">
        <v>3.37</v>
      </c>
      <c r="L509">
        <v>6.59</v>
      </c>
      <c r="M509">
        <v>12.2</v>
      </c>
      <c r="N509">
        <v>20.3</v>
      </c>
      <c r="O509">
        <v>15.23</v>
      </c>
      <c r="P509">
        <v>84.3</v>
      </c>
      <c r="Q509">
        <v>0.47</v>
      </c>
    </row>
    <row r="510" spans="1:17">
      <c r="A510">
        <v>863.3</v>
      </c>
      <c r="B510">
        <v>855.1</v>
      </c>
      <c r="C510">
        <v>549</v>
      </c>
      <c r="D510">
        <v>477</v>
      </c>
      <c r="E510" t="s">
        <v>66</v>
      </c>
      <c r="F510" t="b">
        <v>0</v>
      </c>
      <c r="G510" t="b">
        <v>0</v>
      </c>
      <c r="H510">
        <v>0.7</v>
      </c>
      <c r="I510">
        <v>4.5529999999999999</v>
      </c>
      <c r="J510">
        <v>0.90400000000000003</v>
      </c>
      <c r="K510">
        <v>3.37</v>
      </c>
      <c r="L510">
        <v>6.59</v>
      </c>
      <c r="M510">
        <v>12.2</v>
      </c>
      <c r="N510">
        <v>20.3</v>
      </c>
      <c r="O510">
        <v>15.23</v>
      </c>
      <c r="P510">
        <v>84.3</v>
      </c>
      <c r="Q510">
        <v>0.47</v>
      </c>
    </row>
    <row r="511" spans="1:17">
      <c r="A511">
        <v>864.7</v>
      </c>
      <c r="B511">
        <v>856.6</v>
      </c>
      <c r="C511">
        <v>550</v>
      </c>
      <c r="D511">
        <v>478</v>
      </c>
      <c r="E511" t="s">
        <v>66</v>
      </c>
      <c r="F511" t="b">
        <v>0</v>
      </c>
      <c r="G511" t="b">
        <v>0</v>
      </c>
      <c r="H511">
        <v>1.5</v>
      </c>
      <c r="I511">
        <v>4.5529999999999999</v>
      </c>
      <c r="J511">
        <v>0.90400000000000003</v>
      </c>
      <c r="K511">
        <v>3.37</v>
      </c>
      <c r="L511">
        <v>6.59</v>
      </c>
      <c r="M511">
        <v>12.2</v>
      </c>
      <c r="N511">
        <v>20.3</v>
      </c>
      <c r="O511">
        <v>15.23</v>
      </c>
      <c r="P511">
        <v>84.3</v>
      </c>
      <c r="Q511">
        <v>0.47</v>
      </c>
    </row>
    <row r="512" spans="1:17">
      <c r="A512">
        <v>865.8</v>
      </c>
      <c r="B512">
        <v>857.7</v>
      </c>
      <c r="C512">
        <v>550</v>
      </c>
      <c r="D512">
        <v>479</v>
      </c>
      <c r="E512" t="s">
        <v>66</v>
      </c>
      <c r="F512" t="b">
        <v>0</v>
      </c>
      <c r="G512" t="b">
        <v>0</v>
      </c>
      <c r="H512">
        <v>1.1000000000000001</v>
      </c>
      <c r="I512">
        <v>4.5529999999999999</v>
      </c>
      <c r="J512">
        <v>0.90400000000000003</v>
      </c>
      <c r="K512">
        <v>3.37</v>
      </c>
      <c r="L512">
        <v>6.59</v>
      </c>
      <c r="M512">
        <v>12.2</v>
      </c>
      <c r="N512">
        <v>20.3</v>
      </c>
      <c r="O512">
        <v>15.23</v>
      </c>
      <c r="P512">
        <v>84.3</v>
      </c>
      <c r="Q512">
        <v>0.47</v>
      </c>
    </row>
    <row r="513" spans="1:17">
      <c r="A513">
        <v>867.2</v>
      </c>
      <c r="B513">
        <v>859.1</v>
      </c>
      <c r="C513">
        <v>551</v>
      </c>
      <c r="D513">
        <v>480</v>
      </c>
      <c r="E513" t="s">
        <v>66</v>
      </c>
      <c r="F513" t="b">
        <v>0</v>
      </c>
      <c r="G513" t="b">
        <v>0</v>
      </c>
      <c r="H513">
        <v>1.4</v>
      </c>
      <c r="I513">
        <v>4.5529999999999999</v>
      </c>
      <c r="J513">
        <v>0.90400000000000003</v>
      </c>
      <c r="K513">
        <v>3.37</v>
      </c>
      <c r="L513">
        <v>6.59</v>
      </c>
      <c r="M513">
        <v>12.2</v>
      </c>
      <c r="N513">
        <v>20.3</v>
      </c>
      <c r="O513">
        <v>15.23</v>
      </c>
      <c r="P513">
        <v>84.3</v>
      </c>
      <c r="Q513">
        <v>0.47</v>
      </c>
    </row>
    <row r="514" spans="1:17">
      <c r="A514">
        <v>868.2</v>
      </c>
      <c r="B514">
        <v>860</v>
      </c>
      <c r="C514">
        <v>552</v>
      </c>
      <c r="D514">
        <v>481</v>
      </c>
      <c r="E514" t="s">
        <v>66</v>
      </c>
      <c r="F514" t="b">
        <v>0</v>
      </c>
      <c r="G514" t="b">
        <v>0</v>
      </c>
      <c r="H514">
        <v>1</v>
      </c>
      <c r="I514">
        <v>4.5529999999999999</v>
      </c>
      <c r="J514">
        <v>0.90400000000000003</v>
      </c>
      <c r="K514">
        <v>3.37</v>
      </c>
      <c r="L514">
        <v>6.59</v>
      </c>
      <c r="M514">
        <v>12.2</v>
      </c>
      <c r="N514">
        <v>20.3</v>
      </c>
      <c r="O514">
        <v>15.23</v>
      </c>
      <c r="P514">
        <v>84.3</v>
      </c>
      <c r="Q514">
        <v>0.47</v>
      </c>
    </row>
    <row r="515" spans="1:17">
      <c r="A515">
        <v>869.6</v>
      </c>
      <c r="B515">
        <v>861.5</v>
      </c>
      <c r="C515">
        <v>553</v>
      </c>
      <c r="D515">
        <v>482</v>
      </c>
      <c r="E515" t="s">
        <v>66</v>
      </c>
      <c r="F515" t="b">
        <v>0</v>
      </c>
      <c r="G515" t="b">
        <v>0</v>
      </c>
      <c r="H515">
        <v>1.4</v>
      </c>
      <c r="I515">
        <v>4.5529999999999999</v>
      </c>
      <c r="J515">
        <v>0.90400000000000003</v>
      </c>
      <c r="K515">
        <v>3.37</v>
      </c>
      <c r="L515">
        <v>6.59</v>
      </c>
      <c r="M515">
        <v>12.2</v>
      </c>
      <c r="N515">
        <v>20.3</v>
      </c>
      <c r="O515">
        <v>15.23</v>
      </c>
      <c r="P515">
        <v>84.3</v>
      </c>
      <c r="Q515">
        <v>0.47</v>
      </c>
    </row>
    <row r="516" spans="1:17">
      <c r="A516">
        <v>872</v>
      </c>
      <c r="B516">
        <v>863.9</v>
      </c>
      <c r="C516">
        <v>555</v>
      </c>
      <c r="D516">
        <v>483</v>
      </c>
      <c r="E516" t="s">
        <v>66</v>
      </c>
      <c r="F516" t="b">
        <v>0</v>
      </c>
      <c r="G516" t="b">
        <v>0</v>
      </c>
      <c r="H516">
        <v>2.4</v>
      </c>
      <c r="I516" t="s">
        <v>159</v>
      </c>
      <c r="J516" t="s">
        <v>159</v>
      </c>
      <c r="K516" t="s">
        <v>159</v>
      </c>
      <c r="L516" t="s">
        <v>159</v>
      </c>
      <c r="M516" t="s">
        <v>159</v>
      </c>
      <c r="N516" t="s">
        <v>159</v>
      </c>
      <c r="O516" t="s">
        <v>159</v>
      </c>
      <c r="P516" t="s">
        <v>159</v>
      </c>
      <c r="Q516" t="s">
        <v>159</v>
      </c>
    </row>
    <row r="517" spans="1:17">
      <c r="A517">
        <v>873.4</v>
      </c>
      <c r="B517">
        <v>865.3</v>
      </c>
      <c r="C517">
        <v>556</v>
      </c>
      <c r="D517">
        <v>484</v>
      </c>
      <c r="E517" t="s">
        <v>66</v>
      </c>
      <c r="F517" t="b">
        <v>0</v>
      </c>
      <c r="G517" t="b">
        <v>0</v>
      </c>
      <c r="H517">
        <v>1.4</v>
      </c>
      <c r="I517" t="s">
        <v>159</v>
      </c>
      <c r="J517" t="s">
        <v>159</v>
      </c>
      <c r="K517" t="s">
        <v>159</v>
      </c>
      <c r="L517" t="s">
        <v>159</v>
      </c>
      <c r="M517" t="s">
        <v>159</v>
      </c>
      <c r="N517" t="s">
        <v>159</v>
      </c>
      <c r="O517" t="s">
        <v>159</v>
      </c>
      <c r="P517" t="s">
        <v>159</v>
      </c>
      <c r="Q517" t="s">
        <v>159</v>
      </c>
    </row>
    <row r="518" spans="1:17">
      <c r="A518">
        <v>876.1</v>
      </c>
      <c r="B518">
        <v>868</v>
      </c>
      <c r="C518">
        <v>558</v>
      </c>
      <c r="D518">
        <v>485</v>
      </c>
      <c r="E518" t="s">
        <v>66</v>
      </c>
      <c r="F518" t="b">
        <v>0</v>
      </c>
      <c r="G518" t="b">
        <v>0</v>
      </c>
      <c r="H518">
        <v>2.7</v>
      </c>
      <c r="I518" t="s">
        <v>159</v>
      </c>
      <c r="J518" t="s">
        <v>159</v>
      </c>
      <c r="K518" t="s">
        <v>159</v>
      </c>
      <c r="L518" t="s">
        <v>159</v>
      </c>
      <c r="M518" t="s">
        <v>159</v>
      </c>
      <c r="N518" t="s">
        <v>159</v>
      </c>
      <c r="O518" t="s">
        <v>159</v>
      </c>
      <c r="P518" t="s">
        <v>159</v>
      </c>
      <c r="Q518" t="s">
        <v>159</v>
      </c>
    </row>
    <row r="519" spans="1:17">
      <c r="A519">
        <v>878.1</v>
      </c>
      <c r="B519">
        <v>870</v>
      </c>
      <c r="C519">
        <v>559</v>
      </c>
      <c r="D519">
        <v>486</v>
      </c>
      <c r="E519" t="s">
        <v>66</v>
      </c>
      <c r="F519" t="b">
        <v>0</v>
      </c>
      <c r="G519" t="b">
        <v>0</v>
      </c>
      <c r="H519">
        <v>2</v>
      </c>
      <c r="I519" t="s">
        <v>159</v>
      </c>
      <c r="J519" t="s">
        <v>159</v>
      </c>
      <c r="K519" t="s">
        <v>159</v>
      </c>
      <c r="L519" t="s">
        <v>159</v>
      </c>
      <c r="M519" t="s">
        <v>159</v>
      </c>
      <c r="N519" t="s">
        <v>159</v>
      </c>
      <c r="O519" t="s">
        <v>159</v>
      </c>
      <c r="P519" t="s">
        <v>159</v>
      </c>
      <c r="Q519" t="s">
        <v>159</v>
      </c>
    </row>
    <row r="520" spans="1:17">
      <c r="A520">
        <v>879.1</v>
      </c>
      <c r="B520">
        <v>871</v>
      </c>
      <c r="C520">
        <v>560</v>
      </c>
      <c r="D520">
        <v>487</v>
      </c>
      <c r="E520" t="s">
        <v>66</v>
      </c>
      <c r="F520" t="b">
        <v>0</v>
      </c>
      <c r="G520" t="b">
        <v>0</v>
      </c>
      <c r="H520">
        <v>1</v>
      </c>
      <c r="I520" t="s">
        <v>159</v>
      </c>
      <c r="J520" t="s">
        <v>159</v>
      </c>
      <c r="K520" t="s">
        <v>159</v>
      </c>
      <c r="L520" t="s">
        <v>159</v>
      </c>
      <c r="M520" t="s">
        <v>159</v>
      </c>
      <c r="N520" t="s">
        <v>159</v>
      </c>
      <c r="O520" t="s">
        <v>159</v>
      </c>
      <c r="P520" t="s">
        <v>159</v>
      </c>
      <c r="Q520" t="s">
        <v>159</v>
      </c>
    </row>
    <row r="521" spans="1:17">
      <c r="A521">
        <v>881.3</v>
      </c>
      <c r="B521">
        <v>873.2</v>
      </c>
      <c r="C521">
        <v>562</v>
      </c>
      <c r="D521">
        <v>488</v>
      </c>
      <c r="E521" t="s">
        <v>66</v>
      </c>
      <c r="F521" t="b">
        <v>0</v>
      </c>
      <c r="G521" t="b">
        <v>0</v>
      </c>
      <c r="H521">
        <v>2.2000000000000002</v>
      </c>
      <c r="I521" t="s">
        <v>159</v>
      </c>
      <c r="J521" t="s">
        <v>159</v>
      </c>
      <c r="K521" t="s">
        <v>159</v>
      </c>
      <c r="L521" t="s">
        <v>159</v>
      </c>
      <c r="M521" t="s">
        <v>159</v>
      </c>
      <c r="N521" t="s">
        <v>159</v>
      </c>
      <c r="O521" t="s">
        <v>159</v>
      </c>
      <c r="P521" t="s">
        <v>159</v>
      </c>
      <c r="Q521" t="s">
        <v>159</v>
      </c>
    </row>
    <row r="522" spans="1:17">
      <c r="A522">
        <v>882.2</v>
      </c>
      <c r="B522">
        <v>874.1</v>
      </c>
      <c r="C522">
        <v>562</v>
      </c>
      <c r="D522">
        <v>489</v>
      </c>
      <c r="E522" t="s">
        <v>66</v>
      </c>
      <c r="F522" t="b">
        <v>0</v>
      </c>
      <c r="G522" t="b">
        <v>0</v>
      </c>
      <c r="H522">
        <v>0.9</v>
      </c>
      <c r="I522" t="s">
        <v>159</v>
      </c>
      <c r="J522" t="s">
        <v>159</v>
      </c>
      <c r="K522" t="s">
        <v>159</v>
      </c>
      <c r="L522" t="s">
        <v>159</v>
      </c>
      <c r="M522" t="s">
        <v>159</v>
      </c>
      <c r="N522" t="s">
        <v>159</v>
      </c>
      <c r="O522" t="s">
        <v>159</v>
      </c>
      <c r="P522" t="s">
        <v>159</v>
      </c>
      <c r="Q522" t="s">
        <v>159</v>
      </c>
    </row>
    <row r="523" spans="1:17">
      <c r="A523">
        <v>883.5</v>
      </c>
      <c r="B523">
        <v>875.4</v>
      </c>
      <c r="C523">
        <v>563</v>
      </c>
      <c r="D523">
        <v>490</v>
      </c>
      <c r="E523" t="s">
        <v>66</v>
      </c>
      <c r="F523" t="b">
        <v>0</v>
      </c>
      <c r="G523" t="b">
        <v>0</v>
      </c>
      <c r="H523">
        <v>1.3</v>
      </c>
      <c r="I523" t="s">
        <v>159</v>
      </c>
      <c r="J523" t="s">
        <v>159</v>
      </c>
      <c r="K523" t="s">
        <v>159</v>
      </c>
      <c r="L523" t="s">
        <v>159</v>
      </c>
      <c r="M523" t="s">
        <v>159</v>
      </c>
      <c r="N523" t="s">
        <v>159</v>
      </c>
      <c r="O523" t="s">
        <v>159</v>
      </c>
      <c r="P523" t="s">
        <v>159</v>
      </c>
      <c r="Q523" t="s">
        <v>159</v>
      </c>
    </row>
    <row r="524" spans="1:17">
      <c r="A524">
        <v>884.9</v>
      </c>
      <c r="B524">
        <v>876.8</v>
      </c>
      <c r="C524">
        <v>564</v>
      </c>
      <c r="D524">
        <v>491</v>
      </c>
      <c r="E524" t="s">
        <v>66</v>
      </c>
      <c r="F524" t="b">
        <v>0</v>
      </c>
      <c r="G524" t="b">
        <v>0</v>
      </c>
      <c r="H524">
        <v>1.4</v>
      </c>
      <c r="I524" t="s">
        <v>159</v>
      </c>
      <c r="J524">
        <v>0.92800000000000005</v>
      </c>
      <c r="K524">
        <v>3.52</v>
      </c>
      <c r="L524">
        <v>6.81</v>
      </c>
      <c r="M524">
        <v>12.7</v>
      </c>
      <c r="N524">
        <v>21.2</v>
      </c>
      <c r="O524">
        <v>14.51</v>
      </c>
      <c r="P524">
        <v>84.6</v>
      </c>
      <c r="Q524">
        <v>0.89</v>
      </c>
    </row>
    <row r="525" spans="1:17">
      <c r="A525">
        <v>886.8</v>
      </c>
      <c r="B525">
        <v>878.7</v>
      </c>
      <c r="C525">
        <v>566</v>
      </c>
      <c r="D525">
        <v>492</v>
      </c>
      <c r="E525" t="s">
        <v>66</v>
      </c>
      <c r="F525" t="b">
        <v>0</v>
      </c>
      <c r="G525" t="b">
        <v>0</v>
      </c>
      <c r="H525">
        <v>1.9</v>
      </c>
      <c r="I525" t="s">
        <v>159</v>
      </c>
      <c r="J525">
        <v>0.92800000000000005</v>
      </c>
      <c r="K525">
        <v>3.52</v>
      </c>
      <c r="L525">
        <v>6.81</v>
      </c>
      <c r="M525">
        <v>12.7</v>
      </c>
      <c r="N525">
        <v>21.2</v>
      </c>
      <c r="O525">
        <v>14.51</v>
      </c>
      <c r="P525">
        <v>84.6</v>
      </c>
      <c r="Q525">
        <v>0.89</v>
      </c>
    </row>
    <row r="526" spans="1:17">
      <c r="A526">
        <v>888.4</v>
      </c>
      <c r="B526">
        <v>880.3</v>
      </c>
      <c r="C526">
        <v>567</v>
      </c>
      <c r="D526">
        <v>493</v>
      </c>
      <c r="E526" t="s">
        <v>66</v>
      </c>
      <c r="F526" t="b">
        <v>0</v>
      </c>
      <c r="G526" t="b">
        <v>0</v>
      </c>
      <c r="H526">
        <v>1.6</v>
      </c>
      <c r="I526" t="s">
        <v>159</v>
      </c>
      <c r="J526">
        <v>0.92800000000000005</v>
      </c>
      <c r="K526">
        <v>3.52</v>
      </c>
      <c r="L526">
        <v>6.81</v>
      </c>
      <c r="M526">
        <v>12.7</v>
      </c>
      <c r="N526">
        <v>21.2</v>
      </c>
      <c r="O526">
        <v>14.51</v>
      </c>
      <c r="P526">
        <v>84.6</v>
      </c>
      <c r="Q526">
        <v>0.89</v>
      </c>
    </row>
    <row r="527" spans="1:17">
      <c r="A527">
        <v>889.8</v>
      </c>
      <c r="B527">
        <v>881.6</v>
      </c>
      <c r="C527">
        <v>568</v>
      </c>
      <c r="D527">
        <v>494</v>
      </c>
      <c r="E527" t="s">
        <v>66</v>
      </c>
      <c r="F527" t="b">
        <v>0</v>
      </c>
      <c r="G527" t="b">
        <v>0</v>
      </c>
      <c r="H527">
        <v>1.4</v>
      </c>
      <c r="I527" t="s">
        <v>159</v>
      </c>
      <c r="J527">
        <v>0.92800000000000005</v>
      </c>
      <c r="K527">
        <v>3.52</v>
      </c>
      <c r="L527">
        <v>6.81</v>
      </c>
      <c r="M527">
        <v>12.7</v>
      </c>
      <c r="N527">
        <v>21.2</v>
      </c>
      <c r="O527">
        <v>14.51</v>
      </c>
      <c r="P527">
        <v>84.6</v>
      </c>
      <c r="Q527">
        <v>0.89</v>
      </c>
    </row>
    <row r="528" spans="1:17">
      <c r="A528">
        <v>891.1</v>
      </c>
      <c r="B528">
        <v>883</v>
      </c>
      <c r="C528">
        <v>569</v>
      </c>
      <c r="D528">
        <v>495</v>
      </c>
      <c r="E528" t="s">
        <v>66</v>
      </c>
      <c r="F528" t="b">
        <v>0</v>
      </c>
      <c r="G528" t="b">
        <v>0</v>
      </c>
      <c r="H528">
        <v>1.3</v>
      </c>
      <c r="I528" t="s">
        <v>159</v>
      </c>
      <c r="J528">
        <v>0.92800000000000005</v>
      </c>
      <c r="K528">
        <v>3.52</v>
      </c>
      <c r="L528">
        <v>6.81</v>
      </c>
      <c r="M528">
        <v>12.7</v>
      </c>
      <c r="N528">
        <v>21.2</v>
      </c>
      <c r="O528">
        <v>14.51</v>
      </c>
      <c r="P528">
        <v>84.6</v>
      </c>
      <c r="Q528">
        <v>0.89</v>
      </c>
    </row>
    <row r="529" spans="1:17">
      <c r="A529">
        <v>892.8</v>
      </c>
      <c r="B529">
        <v>884.6</v>
      </c>
      <c r="C529">
        <v>570</v>
      </c>
      <c r="D529">
        <v>496</v>
      </c>
      <c r="E529" t="s">
        <v>66</v>
      </c>
      <c r="F529" t="b">
        <v>0</v>
      </c>
      <c r="G529" t="b">
        <v>0</v>
      </c>
      <c r="H529">
        <v>1.7</v>
      </c>
      <c r="I529" t="s">
        <v>159</v>
      </c>
      <c r="J529">
        <v>0.92800000000000005</v>
      </c>
      <c r="K529">
        <v>3.52</v>
      </c>
      <c r="L529">
        <v>6.81</v>
      </c>
      <c r="M529">
        <v>12.7</v>
      </c>
      <c r="N529">
        <v>21.2</v>
      </c>
      <c r="O529">
        <v>14.51</v>
      </c>
      <c r="P529">
        <v>84.6</v>
      </c>
      <c r="Q529">
        <v>0.89</v>
      </c>
    </row>
    <row r="530" spans="1:17">
      <c r="A530">
        <v>893.5</v>
      </c>
      <c r="B530">
        <v>885.4</v>
      </c>
      <c r="C530">
        <v>570</v>
      </c>
      <c r="D530">
        <v>497</v>
      </c>
      <c r="E530" t="s">
        <v>66</v>
      </c>
      <c r="F530" t="b">
        <v>0</v>
      </c>
      <c r="G530" t="b">
        <v>0</v>
      </c>
      <c r="H530">
        <v>0.7</v>
      </c>
      <c r="I530" t="s">
        <v>159</v>
      </c>
      <c r="J530">
        <v>0.92800000000000005</v>
      </c>
      <c r="K530">
        <v>3.52</v>
      </c>
      <c r="L530">
        <v>6.81</v>
      </c>
      <c r="M530">
        <v>12.7</v>
      </c>
      <c r="N530">
        <v>21.2</v>
      </c>
      <c r="O530">
        <v>14.51</v>
      </c>
      <c r="P530">
        <v>84.6</v>
      </c>
      <c r="Q530">
        <v>0.89</v>
      </c>
    </row>
    <row r="531" spans="1:17">
      <c r="A531">
        <v>894.3</v>
      </c>
      <c r="B531">
        <v>886.2</v>
      </c>
      <c r="C531">
        <v>571</v>
      </c>
      <c r="D531">
        <v>498</v>
      </c>
      <c r="E531" t="s">
        <v>66</v>
      </c>
      <c r="F531" t="b">
        <v>0</v>
      </c>
      <c r="G531" t="b">
        <v>0</v>
      </c>
      <c r="H531">
        <v>0.8</v>
      </c>
      <c r="I531" t="s">
        <v>159</v>
      </c>
      <c r="J531">
        <v>0.92800000000000005</v>
      </c>
      <c r="K531">
        <v>3.52</v>
      </c>
      <c r="L531">
        <v>6.81</v>
      </c>
      <c r="M531">
        <v>12.7</v>
      </c>
      <c r="N531">
        <v>21.2</v>
      </c>
      <c r="O531">
        <v>14.51</v>
      </c>
      <c r="P531">
        <v>84.6</v>
      </c>
      <c r="Q531">
        <v>0.89</v>
      </c>
    </row>
    <row r="532" spans="1:17">
      <c r="A532">
        <v>895.6</v>
      </c>
      <c r="B532">
        <v>887.4</v>
      </c>
      <c r="C532">
        <v>572</v>
      </c>
      <c r="D532">
        <v>499</v>
      </c>
      <c r="E532" t="s">
        <v>66</v>
      </c>
      <c r="F532" t="b">
        <v>0</v>
      </c>
      <c r="G532" t="b">
        <v>0</v>
      </c>
      <c r="H532">
        <v>1.2</v>
      </c>
      <c r="I532" t="s">
        <v>159</v>
      </c>
      <c r="J532">
        <v>0.85799999999999998</v>
      </c>
      <c r="K532">
        <v>3.25</v>
      </c>
      <c r="L532">
        <v>6.38</v>
      </c>
      <c r="M532">
        <v>11.8</v>
      </c>
      <c r="N532">
        <v>19.8</v>
      </c>
      <c r="O532">
        <v>16.079999999999998</v>
      </c>
      <c r="P532">
        <v>82.98</v>
      </c>
      <c r="Q532">
        <v>0.94</v>
      </c>
    </row>
    <row r="533" spans="1:17">
      <c r="A533">
        <v>897.5</v>
      </c>
      <c r="B533">
        <v>889.4</v>
      </c>
      <c r="C533">
        <v>573</v>
      </c>
      <c r="D533">
        <v>500</v>
      </c>
      <c r="E533" t="s">
        <v>66</v>
      </c>
      <c r="F533" t="b">
        <v>0</v>
      </c>
      <c r="G533" t="b">
        <v>0</v>
      </c>
      <c r="H533">
        <v>2</v>
      </c>
      <c r="I533" t="s">
        <v>159</v>
      </c>
      <c r="J533">
        <v>0.85799999999999998</v>
      </c>
      <c r="K533">
        <v>3.25</v>
      </c>
      <c r="L533">
        <v>6.38</v>
      </c>
      <c r="M533">
        <v>11.8</v>
      </c>
      <c r="N533">
        <v>19.8</v>
      </c>
      <c r="O533">
        <v>16.079999999999998</v>
      </c>
      <c r="P533">
        <v>82.98</v>
      </c>
      <c r="Q533">
        <v>0.94</v>
      </c>
    </row>
    <row r="534" spans="1:17">
      <c r="A534">
        <v>898.9</v>
      </c>
      <c r="B534">
        <v>890.8</v>
      </c>
      <c r="C534">
        <v>574</v>
      </c>
      <c r="D534">
        <v>501</v>
      </c>
      <c r="E534" t="s">
        <v>66</v>
      </c>
      <c r="F534" t="b">
        <v>0</v>
      </c>
      <c r="G534" t="b">
        <v>0</v>
      </c>
      <c r="H534">
        <v>1.4</v>
      </c>
      <c r="I534" t="s">
        <v>159</v>
      </c>
      <c r="J534">
        <v>0.85799999999999998</v>
      </c>
      <c r="K534">
        <v>3.25</v>
      </c>
      <c r="L534">
        <v>6.38</v>
      </c>
      <c r="M534">
        <v>11.8</v>
      </c>
      <c r="N534">
        <v>19.8</v>
      </c>
      <c r="O534">
        <v>16.079999999999998</v>
      </c>
      <c r="P534">
        <v>82.98</v>
      </c>
      <c r="Q534">
        <v>0.94</v>
      </c>
    </row>
    <row r="535" spans="1:17">
      <c r="A535">
        <v>900.5</v>
      </c>
      <c r="B535">
        <v>892.4</v>
      </c>
      <c r="C535">
        <v>575</v>
      </c>
      <c r="D535">
        <v>502</v>
      </c>
      <c r="E535" t="s">
        <v>66</v>
      </c>
      <c r="F535" t="b">
        <v>0</v>
      </c>
      <c r="G535" t="b">
        <v>0</v>
      </c>
      <c r="H535">
        <v>1.6</v>
      </c>
      <c r="I535">
        <v>4.9720000000000004</v>
      </c>
      <c r="J535">
        <v>0.85799999999999998</v>
      </c>
      <c r="K535">
        <v>3.25</v>
      </c>
      <c r="L535">
        <v>6.38</v>
      </c>
      <c r="M535">
        <v>11.8</v>
      </c>
      <c r="N535">
        <v>19.8</v>
      </c>
      <c r="O535">
        <v>16.079999999999998</v>
      </c>
      <c r="P535">
        <v>82.98</v>
      </c>
      <c r="Q535">
        <v>0.94</v>
      </c>
    </row>
    <row r="536" spans="1:17">
      <c r="A536">
        <v>903</v>
      </c>
      <c r="B536">
        <v>894.9</v>
      </c>
      <c r="C536">
        <v>577</v>
      </c>
      <c r="D536">
        <v>503</v>
      </c>
      <c r="E536" t="s">
        <v>66</v>
      </c>
      <c r="F536" t="b">
        <v>0</v>
      </c>
      <c r="G536" t="b">
        <v>0</v>
      </c>
      <c r="H536">
        <v>2.6</v>
      </c>
      <c r="I536">
        <v>4.9720000000000004</v>
      </c>
      <c r="J536">
        <v>0.85799999999999998</v>
      </c>
      <c r="K536">
        <v>3.25</v>
      </c>
      <c r="L536">
        <v>6.38</v>
      </c>
      <c r="M536">
        <v>11.8</v>
      </c>
      <c r="N536">
        <v>19.8</v>
      </c>
      <c r="O536">
        <v>16.079999999999998</v>
      </c>
      <c r="P536">
        <v>82.98</v>
      </c>
      <c r="Q536">
        <v>0.94</v>
      </c>
    </row>
    <row r="537" spans="1:17">
      <c r="A537">
        <v>903.8</v>
      </c>
      <c r="B537">
        <v>895.7</v>
      </c>
      <c r="C537">
        <v>578</v>
      </c>
      <c r="D537">
        <v>504</v>
      </c>
      <c r="E537" t="s">
        <v>66</v>
      </c>
      <c r="F537" t="b">
        <v>0</v>
      </c>
      <c r="G537" t="b">
        <v>0</v>
      </c>
      <c r="H537">
        <v>0.8</v>
      </c>
      <c r="I537">
        <v>4.9720000000000004</v>
      </c>
      <c r="J537">
        <v>0.85799999999999998</v>
      </c>
      <c r="K537">
        <v>3.25</v>
      </c>
      <c r="L537">
        <v>6.38</v>
      </c>
      <c r="M537">
        <v>11.8</v>
      </c>
      <c r="N537">
        <v>19.8</v>
      </c>
      <c r="O537">
        <v>16.079999999999998</v>
      </c>
      <c r="P537">
        <v>82.98</v>
      </c>
      <c r="Q537">
        <v>0.94</v>
      </c>
    </row>
    <row r="538" spans="1:17">
      <c r="A538">
        <v>905.7</v>
      </c>
      <c r="B538">
        <v>897.5</v>
      </c>
      <c r="C538">
        <v>579</v>
      </c>
      <c r="D538">
        <v>505</v>
      </c>
      <c r="E538" t="s">
        <v>66</v>
      </c>
      <c r="F538" t="b">
        <v>0</v>
      </c>
      <c r="G538" t="b">
        <v>0</v>
      </c>
      <c r="H538">
        <v>1.9</v>
      </c>
      <c r="I538">
        <v>4.9720000000000004</v>
      </c>
      <c r="J538">
        <v>0.85799999999999998</v>
      </c>
      <c r="K538">
        <v>3.25</v>
      </c>
      <c r="L538">
        <v>6.38</v>
      </c>
      <c r="M538">
        <v>11.8</v>
      </c>
      <c r="N538">
        <v>19.8</v>
      </c>
      <c r="O538">
        <v>16.079999999999998</v>
      </c>
      <c r="P538">
        <v>82.98</v>
      </c>
      <c r="Q538">
        <v>0.94</v>
      </c>
    </row>
    <row r="539" spans="1:17">
      <c r="A539">
        <v>906.7</v>
      </c>
      <c r="B539">
        <v>898.6</v>
      </c>
      <c r="C539">
        <v>580</v>
      </c>
      <c r="D539">
        <v>506</v>
      </c>
      <c r="E539" t="s">
        <v>66</v>
      </c>
      <c r="F539" t="b">
        <v>0</v>
      </c>
      <c r="G539" t="b">
        <v>0</v>
      </c>
      <c r="H539">
        <v>1.1000000000000001</v>
      </c>
      <c r="I539">
        <v>4.9720000000000004</v>
      </c>
      <c r="J539">
        <v>0.85799999999999998</v>
      </c>
      <c r="K539">
        <v>3.25</v>
      </c>
      <c r="L539">
        <v>6.38</v>
      </c>
      <c r="M539">
        <v>11.8</v>
      </c>
      <c r="N539">
        <v>19.8</v>
      </c>
      <c r="O539">
        <v>16.079999999999998</v>
      </c>
      <c r="P539">
        <v>82.98</v>
      </c>
      <c r="Q539">
        <v>0.94</v>
      </c>
    </row>
    <row r="540" spans="1:17">
      <c r="A540">
        <v>907.8</v>
      </c>
      <c r="B540">
        <v>899.7</v>
      </c>
      <c r="C540">
        <v>581</v>
      </c>
      <c r="D540">
        <v>507</v>
      </c>
      <c r="E540" t="s">
        <v>66</v>
      </c>
      <c r="F540" t="b">
        <v>0</v>
      </c>
      <c r="G540" t="b">
        <v>0</v>
      </c>
      <c r="H540">
        <v>1.1000000000000001</v>
      </c>
      <c r="I540">
        <v>4.9720000000000004</v>
      </c>
      <c r="J540">
        <v>0.85799999999999998</v>
      </c>
      <c r="K540">
        <v>3.25</v>
      </c>
      <c r="L540">
        <v>6.38</v>
      </c>
      <c r="M540">
        <v>11.8</v>
      </c>
      <c r="N540">
        <v>19.8</v>
      </c>
      <c r="O540">
        <v>16.079999999999998</v>
      </c>
      <c r="P540">
        <v>82.98</v>
      </c>
      <c r="Q540">
        <v>0.94</v>
      </c>
    </row>
    <row r="541" spans="1:17">
      <c r="A541">
        <v>908.7</v>
      </c>
      <c r="B541">
        <v>900.6</v>
      </c>
      <c r="C541">
        <v>581</v>
      </c>
      <c r="D541">
        <v>508</v>
      </c>
      <c r="E541" t="s">
        <v>66</v>
      </c>
      <c r="F541" t="b">
        <v>0</v>
      </c>
      <c r="G541" t="b">
        <v>0</v>
      </c>
      <c r="H541">
        <v>1</v>
      </c>
      <c r="I541">
        <v>4.9720000000000004</v>
      </c>
      <c r="J541">
        <v>0.85799999999999998</v>
      </c>
      <c r="K541">
        <v>3.25</v>
      </c>
      <c r="L541">
        <v>6.38</v>
      </c>
      <c r="M541">
        <v>11.8</v>
      </c>
      <c r="N541">
        <v>19.8</v>
      </c>
      <c r="O541">
        <v>16.079999999999998</v>
      </c>
      <c r="P541">
        <v>82.98</v>
      </c>
      <c r="Q541">
        <v>0.94</v>
      </c>
    </row>
    <row r="542" spans="1:17">
      <c r="A542">
        <v>910.1</v>
      </c>
      <c r="B542">
        <v>901.9</v>
      </c>
      <c r="C542">
        <v>582</v>
      </c>
      <c r="D542">
        <v>509</v>
      </c>
      <c r="E542" t="s">
        <v>66</v>
      </c>
      <c r="F542" t="b">
        <v>0</v>
      </c>
      <c r="G542" t="b">
        <v>0</v>
      </c>
      <c r="H542">
        <v>1.3</v>
      </c>
      <c r="I542">
        <v>4.1669999999999998</v>
      </c>
      <c r="J542">
        <v>0.85799999999999998</v>
      </c>
      <c r="K542">
        <v>3.25</v>
      </c>
      <c r="L542">
        <v>6.38</v>
      </c>
      <c r="M542">
        <v>11.8</v>
      </c>
      <c r="N542">
        <v>19.8</v>
      </c>
      <c r="O542">
        <v>16.079999999999998</v>
      </c>
      <c r="P542">
        <v>82.98</v>
      </c>
      <c r="Q542">
        <v>0.94</v>
      </c>
    </row>
    <row r="543" spans="1:17">
      <c r="A543">
        <v>911.4</v>
      </c>
      <c r="B543">
        <v>903.2</v>
      </c>
      <c r="C543">
        <v>583</v>
      </c>
      <c r="D543">
        <v>510</v>
      </c>
      <c r="E543" t="s">
        <v>66</v>
      </c>
      <c r="F543" t="b">
        <v>0</v>
      </c>
      <c r="G543" t="b">
        <v>0</v>
      </c>
      <c r="H543">
        <v>1.3</v>
      </c>
      <c r="I543">
        <v>4.1669999999999998</v>
      </c>
      <c r="J543">
        <v>0.85799999999999998</v>
      </c>
      <c r="K543">
        <v>3.25</v>
      </c>
      <c r="L543">
        <v>6.38</v>
      </c>
      <c r="M543">
        <v>11.8</v>
      </c>
      <c r="N543">
        <v>19.8</v>
      </c>
      <c r="O543">
        <v>16.079999999999998</v>
      </c>
      <c r="P543">
        <v>82.98</v>
      </c>
      <c r="Q543">
        <v>0.94</v>
      </c>
    </row>
    <row r="544" spans="1:17">
      <c r="A544">
        <v>913.5</v>
      </c>
      <c r="B544">
        <v>905.4</v>
      </c>
      <c r="C544">
        <v>585</v>
      </c>
      <c r="D544">
        <v>511</v>
      </c>
      <c r="E544" t="s">
        <v>66</v>
      </c>
      <c r="F544" t="b">
        <v>0</v>
      </c>
      <c r="G544" t="b">
        <v>0</v>
      </c>
      <c r="H544">
        <v>2.1</v>
      </c>
      <c r="I544">
        <v>4.1669999999999998</v>
      </c>
      <c r="J544">
        <v>0.85799999999999998</v>
      </c>
      <c r="K544">
        <v>3.25</v>
      </c>
      <c r="L544">
        <v>6.38</v>
      </c>
      <c r="M544">
        <v>11.8</v>
      </c>
      <c r="N544">
        <v>19.8</v>
      </c>
      <c r="O544">
        <v>16.079999999999998</v>
      </c>
      <c r="P544">
        <v>82.98</v>
      </c>
      <c r="Q544">
        <v>0.94</v>
      </c>
    </row>
    <row r="545" spans="1:17">
      <c r="A545">
        <v>915.6</v>
      </c>
      <c r="B545">
        <v>907.4</v>
      </c>
      <c r="C545">
        <v>586</v>
      </c>
      <c r="D545">
        <v>512</v>
      </c>
      <c r="E545" t="s">
        <v>66</v>
      </c>
      <c r="F545" t="b">
        <v>0</v>
      </c>
      <c r="G545" t="b">
        <v>0</v>
      </c>
      <c r="H545">
        <v>2.1</v>
      </c>
      <c r="I545">
        <v>4.1669999999999998</v>
      </c>
      <c r="J545" t="s">
        <v>159</v>
      </c>
      <c r="K545" t="s">
        <v>159</v>
      </c>
      <c r="L545" t="s">
        <v>159</v>
      </c>
      <c r="M545" t="s">
        <v>159</v>
      </c>
      <c r="N545" t="s">
        <v>159</v>
      </c>
      <c r="O545" t="s">
        <v>159</v>
      </c>
      <c r="P545" t="s">
        <v>159</v>
      </c>
      <c r="Q545" t="s">
        <v>159</v>
      </c>
    </row>
    <row r="546" spans="1:17">
      <c r="A546">
        <v>916.6</v>
      </c>
      <c r="B546">
        <v>908.4</v>
      </c>
      <c r="C546">
        <v>587</v>
      </c>
      <c r="D546">
        <v>513</v>
      </c>
      <c r="E546" t="s">
        <v>66</v>
      </c>
      <c r="F546" t="b">
        <v>0</v>
      </c>
      <c r="G546" t="b">
        <v>0</v>
      </c>
      <c r="H546">
        <v>1</v>
      </c>
      <c r="I546">
        <v>4.1669999999999998</v>
      </c>
      <c r="J546" t="s">
        <v>159</v>
      </c>
      <c r="K546" t="s">
        <v>159</v>
      </c>
      <c r="L546" t="s">
        <v>159</v>
      </c>
      <c r="M546" t="s">
        <v>159</v>
      </c>
      <c r="N546" t="s">
        <v>159</v>
      </c>
      <c r="O546" t="s">
        <v>159</v>
      </c>
      <c r="P546" t="s">
        <v>159</v>
      </c>
      <c r="Q546" t="s">
        <v>159</v>
      </c>
    </row>
    <row r="547" spans="1:17">
      <c r="A547">
        <v>918.2</v>
      </c>
      <c r="B547">
        <v>910</v>
      </c>
      <c r="C547">
        <v>588</v>
      </c>
      <c r="D547">
        <v>514</v>
      </c>
      <c r="E547" t="s">
        <v>66</v>
      </c>
      <c r="F547" t="b">
        <v>0</v>
      </c>
      <c r="G547" t="b">
        <v>0</v>
      </c>
      <c r="H547">
        <v>1.6</v>
      </c>
      <c r="I547">
        <v>4.1669999999999998</v>
      </c>
      <c r="J547" t="s">
        <v>159</v>
      </c>
      <c r="K547" t="s">
        <v>159</v>
      </c>
      <c r="L547" t="s">
        <v>159</v>
      </c>
      <c r="M547" t="s">
        <v>159</v>
      </c>
      <c r="N547" t="s">
        <v>159</v>
      </c>
      <c r="O547" t="s">
        <v>159</v>
      </c>
      <c r="P547" t="s">
        <v>159</v>
      </c>
      <c r="Q547" t="s">
        <v>159</v>
      </c>
    </row>
    <row r="548" spans="1:17">
      <c r="A548">
        <v>919.6</v>
      </c>
      <c r="B548">
        <v>911.5</v>
      </c>
      <c r="C548">
        <v>589</v>
      </c>
      <c r="D548">
        <v>515</v>
      </c>
      <c r="E548" t="s">
        <v>66</v>
      </c>
      <c r="F548" t="b">
        <v>0</v>
      </c>
      <c r="G548" t="b">
        <v>0</v>
      </c>
      <c r="H548">
        <v>1.5</v>
      </c>
      <c r="I548">
        <v>4.1669999999999998</v>
      </c>
      <c r="J548" t="s">
        <v>159</v>
      </c>
      <c r="K548" t="s">
        <v>159</v>
      </c>
      <c r="L548" t="s">
        <v>159</v>
      </c>
      <c r="M548" t="s">
        <v>159</v>
      </c>
      <c r="N548" t="s">
        <v>159</v>
      </c>
      <c r="O548" t="s">
        <v>159</v>
      </c>
      <c r="P548" t="s">
        <v>159</v>
      </c>
      <c r="Q548" t="s">
        <v>159</v>
      </c>
    </row>
    <row r="549" spans="1:17">
      <c r="A549">
        <v>920.6</v>
      </c>
      <c r="B549">
        <v>912.5</v>
      </c>
      <c r="C549">
        <v>590</v>
      </c>
      <c r="D549">
        <v>516</v>
      </c>
      <c r="E549" t="s">
        <v>66</v>
      </c>
      <c r="F549" t="b">
        <v>0</v>
      </c>
      <c r="G549" t="b">
        <v>0</v>
      </c>
      <c r="H549">
        <v>1</v>
      </c>
      <c r="I549">
        <v>4.1669999999999998</v>
      </c>
      <c r="J549" t="s">
        <v>159</v>
      </c>
      <c r="K549" t="s">
        <v>159</v>
      </c>
      <c r="L549" t="s">
        <v>159</v>
      </c>
      <c r="M549" t="s">
        <v>159</v>
      </c>
      <c r="N549" t="s">
        <v>159</v>
      </c>
      <c r="O549" t="s">
        <v>159</v>
      </c>
      <c r="P549" t="s">
        <v>159</v>
      </c>
      <c r="Q549" t="s">
        <v>159</v>
      </c>
    </row>
    <row r="550" spans="1:17">
      <c r="A550">
        <v>921.9</v>
      </c>
      <c r="B550">
        <v>913.7</v>
      </c>
      <c r="C550">
        <v>591</v>
      </c>
      <c r="D550">
        <v>517</v>
      </c>
      <c r="E550" t="s">
        <v>66</v>
      </c>
      <c r="F550" t="b">
        <v>0</v>
      </c>
      <c r="G550" t="b">
        <v>0</v>
      </c>
      <c r="H550">
        <v>1.3</v>
      </c>
      <c r="I550">
        <v>4.1669999999999998</v>
      </c>
      <c r="J550" t="s">
        <v>159</v>
      </c>
      <c r="K550" t="s">
        <v>159</v>
      </c>
      <c r="L550" t="s">
        <v>159</v>
      </c>
      <c r="M550" t="s">
        <v>159</v>
      </c>
      <c r="N550" t="s">
        <v>159</v>
      </c>
      <c r="O550" t="s">
        <v>159</v>
      </c>
      <c r="P550" t="s">
        <v>159</v>
      </c>
      <c r="Q550" t="s">
        <v>159</v>
      </c>
    </row>
    <row r="551" spans="1:17">
      <c r="A551">
        <v>923.1</v>
      </c>
      <c r="B551">
        <v>915</v>
      </c>
      <c r="C551">
        <v>592</v>
      </c>
      <c r="D551">
        <v>518</v>
      </c>
      <c r="E551" t="s">
        <v>66</v>
      </c>
      <c r="F551" t="b">
        <v>0</v>
      </c>
      <c r="G551" t="b">
        <v>0</v>
      </c>
      <c r="H551">
        <v>1.3</v>
      </c>
      <c r="I551">
        <v>4.1669999999999998</v>
      </c>
      <c r="J551" t="s">
        <v>159</v>
      </c>
      <c r="K551" t="s">
        <v>159</v>
      </c>
      <c r="L551" t="s">
        <v>159</v>
      </c>
      <c r="M551" t="s">
        <v>159</v>
      </c>
      <c r="N551" t="s">
        <v>159</v>
      </c>
      <c r="O551" t="s">
        <v>159</v>
      </c>
      <c r="P551" t="s">
        <v>159</v>
      </c>
      <c r="Q551" t="s">
        <v>159</v>
      </c>
    </row>
    <row r="552" spans="1:17">
      <c r="A552">
        <v>924</v>
      </c>
      <c r="B552">
        <v>915.9</v>
      </c>
      <c r="C552">
        <v>592</v>
      </c>
      <c r="D552">
        <v>519</v>
      </c>
      <c r="E552" t="s">
        <v>66</v>
      </c>
      <c r="F552" t="b">
        <v>0</v>
      </c>
      <c r="G552" t="b">
        <v>0</v>
      </c>
      <c r="H552">
        <v>0.9</v>
      </c>
      <c r="I552">
        <v>4.1669999999999998</v>
      </c>
      <c r="J552" t="s">
        <v>159</v>
      </c>
      <c r="K552" t="s">
        <v>159</v>
      </c>
      <c r="L552" t="s">
        <v>159</v>
      </c>
      <c r="M552" t="s">
        <v>159</v>
      </c>
      <c r="N552" t="s">
        <v>159</v>
      </c>
      <c r="O552" t="s">
        <v>159</v>
      </c>
      <c r="P552" t="s">
        <v>159</v>
      </c>
      <c r="Q552" t="s">
        <v>159</v>
      </c>
    </row>
    <row r="553" spans="1:17">
      <c r="A553">
        <v>926.2</v>
      </c>
      <c r="B553">
        <v>918.1</v>
      </c>
      <c r="C553">
        <v>594</v>
      </c>
      <c r="D553">
        <v>520</v>
      </c>
      <c r="E553" t="s">
        <v>66</v>
      </c>
      <c r="F553" t="b">
        <v>0</v>
      </c>
      <c r="G553" t="b">
        <v>0</v>
      </c>
      <c r="H553">
        <v>2.1</v>
      </c>
      <c r="I553">
        <v>4.1669999999999998</v>
      </c>
      <c r="J553" t="s">
        <v>159</v>
      </c>
      <c r="K553" t="s">
        <v>159</v>
      </c>
      <c r="L553" t="s">
        <v>159</v>
      </c>
      <c r="M553" t="s">
        <v>159</v>
      </c>
      <c r="N553" t="s">
        <v>159</v>
      </c>
      <c r="O553" t="s">
        <v>159</v>
      </c>
      <c r="P553" t="s">
        <v>159</v>
      </c>
      <c r="Q553" t="s">
        <v>159</v>
      </c>
    </row>
    <row r="554" spans="1:17">
      <c r="A554">
        <v>928</v>
      </c>
      <c r="B554">
        <v>919.9</v>
      </c>
      <c r="C554">
        <v>595</v>
      </c>
      <c r="D554">
        <v>521</v>
      </c>
      <c r="E554" t="s">
        <v>66</v>
      </c>
      <c r="F554" t="b">
        <v>0</v>
      </c>
      <c r="G554" t="b">
        <v>0</v>
      </c>
      <c r="H554">
        <v>1.8</v>
      </c>
      <c r="I554">
        <v>4.1669999999999998</v>
      </c>
      <c r="J554" t="s">
        <v>159</v>
      </c>
      <c r="K554" t="s">
        <v>159</v>
      </c>
      <c r="L554" t="s">
        <v>159</v>
      </c>
      <c r="M554" t="s">
        <v>159</v>
      </c>
      <c r="N554" t="s">
        <v>159</v>
      </c>
      <c r="O554" t="s">
        <v>159</v>
      </c>
      <c r="P554" t="s">
        <v>159</v>
      </c>
      <c r="Q554" t="s">
        <v>159</v>
      </c>
    </row>
    <row r="555" spans="1:17">
      <c r="A555">
        <v>929.5</v>
      </c>
      <c r="B555">
        <v>921.3</v>
      </c>
      <c r="C555">
        <v>596</v>
      </c>
      <c r="D555">
        <v>522</v>
      </c>
      <c r="E555" t="s">
        <v>66</v>
      </c>
      <c r="F555" t="b">
        <v>0</v>
      </c>
      <c r="G555" t="b">
        <v>0</v>
      </c>
      <c r="H555">
        <v>1.5</v>
      </c>
      <c r="I555">
        <v>4.1669999999999998</v>
      </c>
      <c r="J555" t="s">
        <v>159</v>
      </c>
      <c r="K555" t="s">
        <v>159</v>
      </c>
      <c r="L555" t="s">
        <v>159</v>
      </c>
      <c r="M555" t="s">
        <v>159</v>
      </c>
      <c r="N555" t="s">
        <v>159</v>
      </c>
      <c r="O555" t="s">
        <v>159</v>
      </c>
      <c r="P555" t="s">
        <v>159</v>
      </c>
      <c r="Q555" t="s">
        <v>159</v>
      </c>
    </row>
    <row r="556" spans="1:17">
      <c r="A556">
        <v>930.9</v>
      </c>
      <c r="B556">
        <v>922.8</v>
      </c>
      <c r="C556">
        <v>597</v>
      </c>
      <c r="D556">
        <v>523</v>
      </c>
      <c r="E556" t="s">
        <v>66</v>
      </c>
      <c r="F556" t="b">
        <v>0</v>
      </c>
      <c r="G556" t="b">
        <v>0</v>
      </c>
      <c r="H556">
        <v>1.4</v>
      </c>
      <c r="I556" t="s">
        <v>159</v>
      </c>
      <c r="J556" t="s">
        <v>159</v>
      </c>
      <c r="K556" t="s">
        <v>159</v>
      </c>
      <c r="L556" t="s">
        <v>159</v>
      </c>
      <c r="M556" t="s">
        <v>159</v>
      </c>
      <c r="N556" t="s">
        <v>159</v>
      </c>
      <c r="O556" t="s">
        <v>159</v>
      </c>
      <c r="P556" t="s">
        <v>159</v>
      </c>
      <c r="Q556" t="s">
        <v>159</v>
      </c>
    </row>
    <row r="557" spans="1:17">
      <c r="A557">
        <v>932.4</v>
      </c>
      <c r="B557">
        <v>924.2</v>
      </c>
      <c r="C557">
        <v>598</v>
      </c>
      <c r="D557">
        <v>524</v>
      </c>
      <c r="E557" t="s">
        <v>66</v>
      </c>
      <c r="F557" t="b">
        <v>0</v>
      </c>
      <c r="G557" t="b">
        <v>0</v>
      </c>
      <c r="H557">
        <v>1.5</v>
      </c>
      <c r="I557" t="s">
        <v>159</v>
      </c>
      <c r="J557" t="s">
        <v>159</v>
      </c>
      <c r="K557" t="s">
        <v>159</v>
      </c>
      <c r="L557" t="s">
        <v>159</v>
      </c>
      <c r="M557" t="s">
        <v>159</v>
      </c>
      <c r="N557" t="s">
        <v>159</v>
      </c>
      <c r="O557" t="s">
        <v>159</v>
      </c>
      <c r="P557" t="s">
        <v>159</v>
      </c>
      <c r="Q557" t="s">
        <v>159</v>
      </c>
    </row>
    <row r="558" spans="1:17">
      <c r="A558">
        <v>933.7</v>
      </c>
      <c r="B558">
        <v>925.5</v>
      </c>
      <c r="C558">
        <v>599</v>
      </c>
      <c r="D558">
        <v>525</v>
      </c>
      <c r="E558" t="s">
        <v>66</v>
      </c>
      <c r="F558" t="b">
        <v>0</v>
      </c>
      <c r="G558" t="b">
        <v>0</v>
      </c>
      <c r="H558">
        <v>1.3</v>
      </c>
      <c r="I558" t="s">
        <v>159</v>
      </c>
      <c r="J558" t="s">
        <v>159</v>
      </c>
      <c r="K558" t="s">
        <v>159</v>
      </c>
      <c r="L558" t="s">
        <v>159</v>
      </c>
      <c r="M558" t="s">
        <v>159</v>
      </c>
      <c r="N558" t="s">
        <v>159</v>
      </c>
      <c r="O558" t="s">
        <v>159</v>
      </c>
      <c r="P558" t="s">
        <v>159</v>
      </c>
      <c r="Q558" t="s">
        <v>159</v>
      </c>
    </row>
    <row r="559" spans="1:17">
      <c r="A559">
        <v>934.9</v>
      </c>
      <c r="B559">
        <v>926.8</v>
      </c>
      <c r="C559">
        <v>600</v>
      </c>
      <c r="D559">
        <v>526</v>
      </c>
      <c r="E559" t="s">
        <v>66</v>
      </c>
      <c r="F559" t="b">
        <v>0</v>
      </c>
      <c r="G559" t="b">
        <v>0</v>
      </c>
      <c r="H559">
        <v>1.2</v>
      </c>
      <c r="I559">
        <v>4.5759999999999996</v>
      </c>
      <c r="J559" t="s">
        <v>159</v>
      </c>
      <c r="K559" t="s">
        <v>159</v>
      </c>
      <c r="L559" t="s">
        <v>159</v>
      </c>
      <c r="M559" t="s">
        <v>159</v>
      </c>
      <c r="N559" t="s">
        <v>159</v>
      </c>
      <c r="O559" t="s">
        <v>159</v>
      </c>
      <c r="P559" t="s">
        <v>159</v>
      </c>
      <c r="Q559" t="s">
        <v>159</v>
      </c>
    </row>
    <row r="560" spans="1:17">
      <c r="A560">
        <v>936.4</v>
      </c>
      <c r="B560">
        <v>928.3</v>
      </c>
      <c r="C560">
        <v>601</v>
      </c>
      <c r="D560">
        <v>527</v>
      </c>
      <c r="E560" t="s">
        <v>66</v>
      </c>
      <c r="F560" t="b">
        <v>0</v>
      </c>
      <c r="G560" t="b">
        <v>0</v>
      </c>
      <c r="H560">
        <v>1.5</v>
      </c>
      <c r="I560">
        <v>4.5759999999999996</v>
      </c>
      <c r="J560" t="s">
        <v>159</v>
      </c>
      <c r="K560" t="s">
        <v>159</v>
      </c>
      <c r="L560" t="s">
        <v>159</v>
      </c>
      <c r="M560" t="s">
        <v>159</v>
      </c>
      <c r="N560" t="s">
        <v>159</v>
      </c>
      <c r="O560" t="s">
        <v>159</v>
      </c>
      <c r="P560" t="s">
        <v>159</v>
      </c>
      <c r="Q560" t="s">
        <v>159</v>
      </c>
    </row>
    <row r="561" spans="1:17">
      <c r="A561">
        <v>937.5</v>
      </c>
      <c r="B561">
        <v>929.4</v>
      </c>
      <c r="C561">
        <v>602</v>
      </c>
      <c r="D561">
        <v>528</v>
      </c>
      <c r="E561" t="s">
        <v>66</v>
      </c>
      <c r="F561" t="b">
        <v>0</v>
      </c>
      <c r="G561" t="b">
        <v>0</v>
      </c>
      <c r="H561">
        <v>1.1000000000000001</v>
      </c>
      <c r="I561">
        <v>4.5759999999999996</v>
      </c>
      <c r="J561" t="s">
        <v>159</v>
      </c>
      <c r="K561" t="s">
        <v>159</v>
      </c>
      <c r="L561" t="s">
        <v>159</v>
      </c>
      <c r="M561" t="s">
        <v>159</v>
      </c>
      <c r="N561" t="s">
        <v>159</v>
      </c>
      <c r="O561" t="s">
        <v>159</v>
      </c>
      <c r="P561" t="s">
        <v>159</v>
      </c>
      <c r="Q561" t="s">
        <v>159</v>
      </c>
    </row>
    <row r="562" spans="1:17">
      <c r="A562">
        <v>939.1</v>
      </c>
      <c r="B562">
        <v>931</v>
      </c>
      <c r="C562">
        <v>603</v>
      </c>
      <c r="D562">
        <v>529</v>
      </c>
      <c r="E562" t="s">
        <v>66</v>
      </c>
      <c r="F562" t="b">
        <v>0</v>
      </c>
      <c r="G562" t="b">
        <v>0</v>
      </c>
      <c r="H562">
        <v>1.6</v>
      </c>
      <c r="I562">
        <v>4.5759999999999996</v>
      </c>
      <c r="J562" t="s">
        <v>159</v>
      </c>
      <c r="K562" t="s">
        <v>159</v>
      </c>
      <c r="L562" t="s">
        <v>159</v>
      </c>
      <c r="M562" t="s">
        <v>159</v>
      </c>
      <c r="N562" t="s">
        <v>159</v>
      </c>
      <c r="O562" t="s">
        <v>159</v>
      </c>
      <c r="P562" t="s">
        <v>159</v>
      </c>
      <c r="Q562" t="s">
        <v>159</v>
      </c>
    </row>
    <row r="563" spans="1:17">
      <c r="A563">
        <v>940.4</v>
      </c>
      <c r="B563">
        <v>932.3</v>
      </c>
      <c r="C563">
        <v>604</v>
      </c>
      <c r="D563">
        <v>530</v>
      </c>
      <c r="E563" t="s">
        <v>66</v>
      </c>
      <c r="F563" t="b">
        <v>0</v>
      </c>
      <c r="G563" t="b">
        <v>0</v>
      </c>
      <c r="H563">
        <v>1.3</v>
      </c>
      <c r="I563">
        <v>4.5759999999999996</v>
      </c>
      <c r="J563" t="s">
        <v>159</v>
      </c>
      <c r="K563" t="s">
        <v>159</v>
      </c>
      <c r="L563" t="s">
        <v>159</v>
      </c>
      <c r="M563" t="s">
        <v>159</v>
      </c>
      <c r="N563" t="s">
        <v>159</v>
      </c>
      <c r="O563" t="s">
        <v>159</v>
      </c>
      <c r="P563" t="s">
        <v>159</v>
      </c>
      <c r="Q563" t="s">
        <v>159</v>
      </c>
    </row>
    <row r="564" spans="1:17">
      <c r="A564">
        <v>942</v>
      </c>
      <c r="B564">
        <v>933.9</v>
      </c>
      <c r="C564">
        <v>605</v>
      </c>
      <c r="D564">
        <v>531</v>
      </c>
      <c r="E564" t="s">
        <v>66</v>
      </c>
      <c r="F564" t="b">
        <v>0</v>
      </c>
      <c r="G564" t="b">
        <v>0</v>
      </c>
      <c r="H564">
        <v>1.6</v>
      </c>
      <c r="I564">
        <v>4.5759999999999996</v>
      </c>
      <c r="J564" t="s">
        <v>159</v>
      </c>
      <c r="K564" t="s">
        <v>159</v>
      </c>
      <c r="L564" t="s">
        <v>159</v>
      </c>
      <c r="M564" t="s">
        <v>159</v>
      </c>
      <c r="N564" t="s">
        <v>159</v>
      </c>
      <c r="O564" t="s">
        <v>159</v>
      </c>
      <c r="P564" t="s">
        <v>159</v>
      </c>
      <c r="Q564" t="s">
        <v>159</v>
      </c>
    </row>
    <row r="565" spans="1:17">
      <c r="A565">
        <v>943.7</v>
      </c>
      <c r="B565">
        <v>935.6</v>
      </c>
      <c r="C565">
        <v>606</v>
      </c>
      <c r="D565">
        <v>532</v>
      </c>
      <c r="E565" t="s">
        <v>66</v>
      </c>
      <c r="F565" t="b">
        <v>0</v>
      </c>
      <c r="G565" t="b">
        <v>0</v>
      </c>
      <c r="H565">
        <v>1.7</v>
      </c>
      <c r="I565">
        <v>4.5759999999999996</v>
      </c>
      <c r="J565" t="s">
        <v>159</v>
      </c>
      <c r="K565" t="s">
        <v>159</v>
      </c>
      <c r="L565" t="s">
        <v>159</v>
      </c>
      <c r="M565" t="s">
        <v>159</v>
      </c>
      <c r="N565" t="s">
        <v>159</v>
      </c>
      <c r="O565" t="s">
        <v>159</v>
      </c>
      <c r="P565" t="s">
        <v>159</v>
      </c>
      <c r="Q565" t="s">
        <v>159</v>
      </c>
    </row>
    <row r="566" spans="1:17">
      <c r="A566">
        <v>944.4</v>
      </c>
      <c r="B566">
        <v>936.3</v>
      </c>
      <c r="C566">
        <v>607</v>
      </c>
      <c r="D566">
        <v>533</v>
      </c>
      <c r="E566" t="s">
        <v>66</v>
      </c>
      <c r="F566" t="b">
        <v>0</v>
      </c>
      <c r="G566" t="b">
        <v>0</v>
      </c>
      <c r="H566">
        <v>0.7</v>
      </c>
      <c r="I566">
        <v>4.5759999999999996</v>
      </c>
      <c r="J566" t="s">
        <v>159</v>
      </c>
      <c r="K566" t="s">
        <v>159</v>
      </c>
      <c r="L566" t="s">
        <v>159</v>
      </c>
      <c r="M566" t="s">
        <v>159</v>
      </c>
      <c r="N566" t="s">
        <v>159</v>
      </c>
      <c r="O566" t="s">
        <v>159</v>
      </c>
      <c r="P566" t="s">
        <v>159</v>
      </c>
      <c r="Q566" t="s">
        <v>159</v>
      </c>
    </row>
    <row r="567" spans="1:17">
      <c r="A567">
        <v>945</v>
      </c>
      <c r="B567">
        <v>936.9</v>
      </c>
      <c r="C567">
        <v>607</v>
      </c>
      <c r="D567">
        <v>534</v>
      </c>
      <c r="E567" t="s">
        <v>66</v>
      </c>
      <c r="F567" t="b">
        <v>0</v>
      </c>
      <c r="G567" t="b">
        <v>0</v>
      </c>
      <c r="H567">
        <v>0.6</v>
      </c>
      <c r="I567">
        <v>4.5759999999999996</v>
      </c>
      <c r="J567">
        <v>0.85699999999999998</v>
      </c>
      <c r="K567">
        <v>3.35</v>
      </c>
      <c r="L567">
        <v>6.44</v>
      </c>
      <c r="M567">
        <v>11.6</v>
      </c>
      <c r="N567">
        <v>18.600000000000001</v>
      </c>
      <c r="O567">
        <v>15.65</v>
      </c>
      <c r="P567">
        <v>84.25</v>
      </c>
      <c r="Q567">
        <v>0.09</v>
      </c>
    </row>
    <row r="568" spans="1:17">
      <c r="A568">
        <v>945.5</v>
      </c>
      <c r="B568">
        <v>937.3</v>
      </c>
      <c r="C568">
        <v>608</v>
      </c>
      <c r="D568">
        <v>535</v>
      </c>
      <c r="E568" t="s">
        <v>66</v>
      </c>
      <c r="F568" t="b">
        <v>0</v>
      </c>
      <c r="G568" t="b">
        <v>0</v>
      </c>
      <c r="H568">
        <v>0.5</v>
      </c>
      <c r="I568">
        <v>4.5759999999999996</v>
      </c>
      <c r="J568">
        <v>0.85699999999999998</v>
      </c>
      <c r="K568">
        <v>3.35</v>
      </c>
      <c r="L568">
        <v>6.44</v>
      </c>
      <c r="M568">
        <v>11.6</v>
      </c>
      <c r="N568">
        <v>18.600000000000001</v>
      </c>
      <c r="O568">
        <v>15.65</v>
      </c>
      <c r="P568">
        <v>84.25</v>
      </c>
      <c r="Q568">
        <v>0.09</v>
      </c>
    </row>
    <row r="569" spans="1:17">
      <c r="A569">
        <v>946.1</v>
      </c>
      <c r="B569">
        <v>938</v>
      </c>
      <c r="C569">
        <v>608</v>
      </c>
      <c r="D569">
        <v>536</v>
      </c>
      <c r="E569" t="s">
        <v>66</v>
      </c>
      <c r="F569" t="b">
        <v>0</v>
      </c>
      <c r="G569" t="b">
        <v>0</v>
      </c>
      <c r="H569">
        <v>0.7</v>
      </c>
      <c r="I569">
        <v>4.5759999999999996</v>
      </c>
      <c r="J569">
        <v>0.85699999999999998</v>
      </c>
      <c r="K569">
        <v>3.35</v>
      </c>
      <c r="L569">
        <v>6.44</v>
      </c>
      <c r="M569">
        <v>11.6</v>
      </c>
      <c r="N569">
        <v>18.600000000000001</v>
      </c>
      <c r="O569">
        <v>15.65</v>
      </c>
      <c r="P569">
        <v>84.25</v>
      </c>
      <c r="Q569">
        <v>0.09</v>
      </c>
    </row>
    <row r="570" spans="1:17">
      <c r="A570">
        <v>946.8</v>
      </c>
      <c r="B570">
        <v>938.7</v>
      </c>
      <c r="C570">
        <v>609</v>
      </c>
      <c r="D570">
        <v>537</v>
      </c>
      <c r="E570" t="s">
        <v>66</v>
      </c>
      <c r="F570" t="b">
        <v>0</v>
      </c>
      <c r="G570" t="b">
        <v>0</v>
      </c>
      <c r="H570">
        <v>0.7</v>
      </c>
      <c r="I570">
        <v>4.5759999999999996</v>
      </c>
      <c r="J570">
        <v>0.85699999999999998</v>
      </c>
      <c r="K570">
        <v>3.35</v>
      </c>
      <c r="L570">
        <v>6.44</v>
      </c>
      <c r="M570">
        <v>11.6</v>
      </c>
      <c r="N570">
        <v>18.600000000000001</v>
      </c>
      <c r="O570">
        <v>15.65</v>
      </c>
      <c r="P570">
        <v>84.25</v>
      </c>
      <c r="Q570">
        <v>0.09</v>
      </c>
    </row>
    <row r="571" spans="1:17">
      <c r="A571">
        <v>947.7</v>
      </c>
      <c r="B571">
        <v>939.6</v>
      </c>
      <c r="C571">
        <v>609</v>
      </c>
      <c r="D571">
        <v>538</v>
      </c>
      <c r="E571" t="s">
        <v>66</v>
      </c>
      <c r="F571" t="b">
        <v>0</v>
      </c>
      <c r="G571" t="b">
        <v>0</v>
      </c>
      <c r="H571">
        <v>0.9</v>
      </c>
      <c r="I571">
        <v>4.5759999999999996</v>
      </c>
      <c r="J571">
        <v>0.85699999999999998</v>
      </c>
      <c r="K571">
        <v>3.35</v>
      </c>
      <c r="L571">
        <v>6.44</v>
      </c>
      <c r="M571">
        <v>11.6</v>
      </c>
      <c r="N571">
        <v>18.600000000000001</v>
      </c>
      <c r="O571">
        <v>15.65</v>
      </c>
      <c r="P571">
        <v>84.25</v>
      </c>
      <c r="Q571">
        <v>0.09</v>
      </c>
    </row>
    <row r="572" spans="1:17">
      <c r="A572">
        <v>949.7</v>
      </c>
      <c r="B572">
        <v>941.5</v>
      </c>
      <c r="C572">
        <v>611</v>
      </c>
      <c r="D572">
        <v>539</v>
      </c>
      <c r="E572" t="s">
        <v>66</v>
      </c>
      <c r="F572" t="b">
        <v>0</v>
      </c>
      <c r="G572" t="b">
        <v>0</v>
      </c>
      <c r="H572">
        <v>2</v>
      </c>
      <c r="I572">
        <v>4.5759999999999996</v>
      </c>
      <c r="J572">
        <v>0.85699999999999998</v>
      </c>
      <c r="K572">
        <v>3.35</v>
      </c>
      <c r="L572">
        <v>6.44</v>
      </c>
      <c r="M572">
        <v>11.6</v>
      </c>
      <c r="N572">
        <v>18.600000000000001</v>
      </c>
      <c r="O572">
        <v>15.65</v>
      </c>
      <c r="P572">
        <v>84.25</v>
      </c>
      <c r="Q572">
        <v>0.09</v>
      </c>
    </row>
    <row r="573" spans="1:17">
      <c r="A573">
        <v>951.3</v>
      </c>
      <c r="B573">
        <v>943.2</v>
      </c>
      <c r="C573">
        <v>612</v>
      </c>
      <c r="D573">
        <v>540</v>
      </c>
      <c r="E573" t="s">
        <v>66</v>
      </c>
      <c r="F573" t="b">
        <v>0</v>
      </c>
      <c r="G573" t="b">
        <v>0</v>
      </c>
      <c r="H573">
        <v>1.6</v>
      </c>
      <c r="I573">
        <v>4.5759999999999996</v>
      </c>
      <c r="J573">
        <v>0.85699999999999998</v>
      </c>
      <c r="K573">
        <v>3.35</v>
      </c>
      <c r="L573">
        <v>6.44</v>
      </c>
      <c r="M573">
        <v>11.6</v>
      </c>
      <c r="N573">
        <v>18.600000000000001</v>
      </c>
      <c r="O573">
        <v>15.65</v>
      </c>
      <c r="P573">
        <v>84.25</v>
      </c>
      <c r="Q573">
        <v>0.09</v>
      </c>
    </row>
    <row r="574" spans="1:17">
      <c r="A574">
        <v>952.4</v>
      </c>
      <c r="B574">
        <v>944.2</v>
      </c>
      <c r="C574">
        <v>613</v>
      </c>
      <c r="D574">
        <v>541</v>
      </c>
      <c r="E574" t="s">
        <v>66</v>
      </c>
      <c r="F574" t="b">
        <v>0</v>
      </c>
      <c r="G574" t="b">
        <v>0</v>
      </c>
      <c r="H574">
        <v>1.1000000000000001</v>
      </c>
      <c r="I574">
        <v>4.5759999999999996</v>
      </c>
      <c r="J574">
        <v>0.85699999999999998</v>
      </c>
      <c r="K574">
        <v>3.35</v>
      </c>
      <c r="L574">
        <v>6.44</v>
      </c>
      <c r="M574">
        <v>11.6</v>
      </c>
      <c r="N574">
        <v>18.600000000000001</v>
      </c>
      <c r="O574">
        <v>15.65</v>
      </c>
      <c r="P574">
        <v>84.25</v>
      </c>
      <c r="Q574">
        <v>0.09</v>
      </c>
    </row>
    <row r="575" spans="1:17">
      <c r="A575">
        <v>953.7</v>
      </c>
      <c r="B575">
        <v>945.6</v>
      </c>
      <c r="C575">
        <v>614</v>
      </c>
      <c r="D575">
        <v>542</v>
      </c>
      <c r="E575" t="s">
        <v>66</v>
      </c>
      <c r="F575" t="b">
        <v>0</v>
      </c>
      <c r="G575" t="b">
        <v>0</v>
      </c>
      <c r="H575">
        <v>1.4</v>
      </c>
      <c r="I575">
        <v>4.5759999999999996</v>
      </c>
      <c r="J575">
        <v>0.85699999999999998</v>
      </c>
      <c r="K575">
        <v>3.35</v>
      </c>
      <c r="L575">
        <v>6.44</v>
      </c>
      <c r="M575">
        <v>11.6</v>
      </c>
      <c r="N575">
        <v>18.600000000000001</v>
      </c>
      <c r="O575">
        <v>15.65</v>
      </c>
      <c r="P575">
        <v>84.25</v>
      </c>
      <c r="Q575">
        <v>0.09</v>
      </c>
    </row>
    <row r="576" spans="1:17">
      <c r="A576">
        <v>955</v>
      </c>
      <c r="B576">
        <v>946.9</v>
      </c>
      <c r="C576">
        <v>615</v>
      </c>
      <c r="D576">
        <v>543</v>
      </c>
      <c r="E576" t="s">
        <v>66</v>
      </c>
      <c r="F576" t="b">
        <v>0</v>
      </c>
      <c r="G576" t="b">
        <v>0</v>
      </c>
      <c r="H576">
        <v>1.3</v>
      </c>
      <c r="I576">
        <v>4.5759999999999996</v>
      </c>
      <c r="J576">
        <v>0.85699999999999998</v>
      </c>
      <c r="K576">
        <v>3.35</v>
      </c>
      <c r="L576">
        <v>6.44</v>
      </c>
      <c r="M576">
        <v>11.6</v>
      </c>
      <c r="N576">
        <v>18.600000000000001</v>
      </c>
      <c r="O576">
        <v>15.65</v>
      </c>
      <c r="P576">
        <v>84.25</v>
      </c>
      <c r="Q576">
        <v>0.09</v>
      </c>
    </row>
    <row r="577" spans="1:17">
      <c r="A577">
        <v>955.9</v>
      </c>
      <c r="B577">
        <v>947.8</v>
      </c>
      <c r="C577">
        <v>615</v>
      </c>
      <c r="D577">
        <v>544</v>
      </c>
      <c r="E577" t="s">
        <v>66</v>
      </c>
      <c r="F577" t="b">
        <v>0</v>
      </c>
      <c r="G577" t="b">
        <v>0</v>
      </c>
      <c r="H577">
        <v>0.9</v>
      </c>
      <c r="I577" t="s">
        <v>159</v>
      </c>
      <c r="J577">
        <v>0.85699999999999998</v>
      </c>
      <c r="K577">
        <v>3.35</v>
      </c>
      <c r="L577">
        <v>6.44</v>
      </c>
      <c r="M577">
        <v>11.6</v>
      </c>
      <c r="N577">
        <v>18.600000000000001</v>
      </c>
      <c r="O577">
        <v>15.65</v>
      </c>
      <c r="P577">
        <v>84.25</v>
      </c>
      <c r="Q577">
        <v>0.09</v>
      </c>
    </row>
    <row r="578" spans="1:17">
      <c r="A578">
        <v>956.7</v>
      </c>
      <c r="B578">
        <v>948.6</v>
      </c>
      <c r="C578">
        <v>616</v>
      </c>
      <c r="D578">
        <v>545</v>
      </c>
      <c r="E578" t="s">
        <v>66</v>
      </c>
      <c r="F578" t="b">
        <v>0</v>
      </c>
      <c r="G578" t="b">
        <v>0</v>
      </c>
      <c r="H578">
        <v>0.8</v>
      </c>
      <c r="I578" t="s">
        <v>159</v>
      </c>
      <c r="J578">
        <v>0.85699999999999998</v>
      </c>
      <c r="K578">
        <v>3.35</v>
      </c>
      <c r="L578">
        <v>6.44</v>
      </c>
      <c r="M578">
        <v>11.6</v>
      </c>
      <c r="N578">
        <v>18.600000000000001</v>
      </c>
      <c r="O578">
        <v>15.65</v>
      </c>
      <c r="P578">
        <v>84.25</v>
      </c>
      <c r="Q578">
        <v>0.09</v>
      </c>
    </row>
    <row r="579" spans="1:17">
      <c r="A579">
        <v>958.3</v>
      </c>
      <c r="B579">
        <v>950.1</v>
      </c>
      <c r="C579">
        <v>617</v>
      </c>
      <c r="D579">
        <v>546</v>
      </c>
      <c r="E579" t="s">
        <v>66</v>
      </c>
      <c r="F579" t="b">
        <v>0</v>
      </c>
      <c r="G579" t="b">
        <v>0</v>
      </c>
      <c r="H579">
        <v>1.5</v>
      </c>
      <c r="I579" t="s">
        <v>159</v>
      </c>
      <c r="J579">
        <v>0.85699999999999998</v>
      </c>
      <c r="K579">
        <v>3.35</v>
      </c>
      <c r="L579">
        <v>6.44</v>
      </c>
      <c r="M579">
        <v>11.6</v>
      </c>
      <c r="N579">
        <v>18.600000000000001</v>
      </c>
      <c r="O579">
        <v>15.65</v>
      </c>
      <c r="P579">
        <v>84.25</v>
      </c>
      <c r="Q579">
        <v>0.09</v>
      </c>
    </row>
    <row r="580" spans="1:17">
      <c r="A580">
        <v>959.6</v>
      </c>
      <c r="B580">
        <v>951.4</v>
      </c>
      <c r="C580">
        <v>618</v>
      </c>
      <c r="D580">
        <v>547</v>
      </c>
      <c r="E580" t="s">
        <v>66</v>
      </c>
      <c r="F580" t="b">
        <v>0</v>
      </c>
      <c r="G580" t="b">
        <v>0</v>
      </c>
      <c r="H580">
        <v>1.3</v>
      </c>
      <c r="I580">
        <v>5.0209999999999999</v>
      </c>
      <c r="J580">
        <v>0.85699999999999998</v>
      </c>
      <c r="K580">
        <v>3.35</v>
      </c>
      <c r="L580">
        <v>6.44</v>
      </c>
      <c r="M580">
        <v>11.6</v>
      </c>
      <c r="N580">
        <v>18.600000000000001</v>
      </c>
      <c r="O580">
        <v>15.65</v>
      </c>
      <c r="P580">
        <v>84.25</v>
      </c>
      <c r="Q580">
        <v>0.09</v>
      </c>
    </row>
    <row r="581" spans="1:17">
      <c r="A581">
        <v>960.3</v>
      </c>
      <c r="B581">
        <v>952.2</v>
      </c>
      <c r="C581">
        <v>618</v>
      </c>
      <c r="D581">
        <v>548</v>
      </c>
      <c r="E581" t="s">
        <v>66</v>
      </c>
      <c r="F581" t="b">
        <v>0</v>
      </c>
      <c r="G581" t="b">
        <v>0</v>
      </c>
      <c r="H581">
        <v>0.8</v>
      </c>
      <c r="I581">
        <v>5.0209999999999999</v>
      </c>
      <c r="J581">
        <v>0.85699999999999998</v>
      </c>
      <c r="K581">
        <v>3.35</v>
      </c>
      <c r="L581">
        <v>6.44</v>
      </c>
      <c r="M581">
        <v>11.6</v>
      </c>
      <c r="N581">
        <v>18.600000000000001</v>
      </c>
      <c r="O581">
        <v>15.65</v>
      </c>
      <c r="P581">
        <v>84.25</v>
      </c>
      <c r="Q581">
        <v>0.09</v>
      </c>
    </row>
    <row r="582" spans="1:17">
      <c r="A582">
        <v>960.9</v>
      </c>
      <c r="B582">
        <v>952.8</v>
      </c>
      <c r="C582">
        <v>619</v>
      </c>
      <c r="D582">
        <v>549</v>
      </c>
      <c r="E582" t="s">
        <v>66</v>
      </c>
      <c r="F582" t="b">
        <v>0</v>
      </c>
      <c r="G582" t="b">
        <v>0</v>
      </c>
      <c r="H582">
        <v>0.6</v>
      </c>
      <c r="I582">
        <v>5.0209999999999999</v>
      </c>
      <c r="J582">
        <v>0.85699999999999998</v>
      </c>
      <c r="K582">
        <v>3.35</v>
      </c>
      <c r="L582">
        <v>6.44</v>
      </c>
      <c r="M582">
        <v>11.6</v>
      </c>
      <c r="N582">
        <v>18.600000000000001</v>
      </c>
      <c r="O582">
        <v>15.65</v>
      </c>
      <c r="P582">
        <v>84.25</v>
      </c>
      <c r="Q582">
        <v>0.09</v>
      </c>
    </row>
    <row r="583" spans="1:17">
      <c r="A583">
        <v>962.2</v>
      </c>
      <c r="B583">
        <v>954</v>
      </c>
      <c r="C583">
        <v>620</v>
      </c>
      <c r="D583">
        <v>550</v>
      </c>
      <c r="E583" t="s">
        <v>66</v>
      </c>
      <c r="F583" t="b">
        <v>0</v>
      </c>
      <c r="G583" t="b">
        <v>0</v>
      </c>
      <c r="H583">
        <v>1.2</v>
      </c>
      <c r="I583">
        <v>5.0209999999999999</v>
      </c>
      <c r="J583">
        <v>0.85699999999999998</v>
      </c>
      <c r="K583">
        <v>3.35</v>
      </c>
      <c r="L583">
        <v>6.44</v>
      </c>
      <c r="M583">
        <v>11.6</v>
      </c>
      <c r="N583">
        <v>18.600000000000001</v>
      </c>
      <c r="O583">
        <v>15.65</v>
      </c>
      <c r="P583">
        <v>84.25</v>
      </c>
      <c r="Q583">
        <v>0.09</v>
      </c>
    </row>
    <row r="584" spans="1:17">
      <c r="A584">
        <v>963</v>
      </c>
      <c r="B584">
        <v>954.9</v>
      </c>
      <c r="C584">
        <v>620</v>
      </c>
      <c r="D584">
        <v>551</v>
      </c>
      <c r="E584" t="s">
        <v>66</v>
      </c>
      <c r="F584" t="b">
        <v>0</v>
      </c>
      <c r="G584" t="b">
        <v>0</v>
      </c>
      <c r="H584">
        <v>0.9</v>
      </c>
      <c r="I584">
        <v>5.0209999999999999</v>
      </c>
      <c r="J584">
        <v>0.85699999999999998</v>
      </c>
      <c r="K584">
        <v>3.35</v>
      </c>
      <c r="L584">
        <v>6.44</v>
      </c>
      <c r="M584">
        <v>11.6</v>
      </c>
      <c r="N584">
        <v>18.600000000000001</v>
      </c>
      <c r="O584">
        <v>15.65</v>
      </c>
      <c r="P584">
        <v>84.25</v>
      </c>
      <c r="Q584">
        <v>0.09</v>
      </c>
    </row>
    <row r="585" spans="1:17">
      <c r="A585">
        <v>964.3</v>
      </c>
      <c r="B585">
        <v>956.2</v>
      </c>
      <c r="C585">
        <v>621</v>
      </c>
      <c r="D585">
        <v>552</v>
      </c>
      <c r="E585" t="s">
        <v>66</v>
      </c>
      <c r="F585" t="b">
        <v>0</v>
      </c>
      <c r="G585" t="b">
        <v>0</v>
      </c>
      <c r="H585">
        <v>1.3</v>
      </c>
      <c r="I585">
        <v>5.0209999999999999</v>
      </c>
      <c r="J585">
        <v>0.85699999999999998</v>
      </c>
      <c r="K585">
        <v>3.35</v>
      </c>
      <c r="L585">
        <v>6.44</v>
      </c>
      <c r="M585">
        <v>11.6</v>
      </c>
      <c r="N585">
        <v>18.600000000000001</v>
      </c>
      <c r="O585">
        <v>15.65</v>
      </c>
      <c r="P585">
        <v>84.25</v>
      </c>
      <c r="Q585">
        <v>0.09</v>
      </c>
    </row>
    <row r="586" spans="1:17">
      <c r="A586">
        <v>965.1</v>
      </c>
      <c r="B586">
        <v>956.9</v>
      </c>
      <c r="C586">
        <v>622</v>
      </c>
      <c r="D586">
        <v>553</v>
      </c>
      <c r="E586" t="s">
        <v>66</v>
      </c>
      <c r="F586" t="b">
        <v>0</v>
      </c>
      <c r="G586" t="b">
        <v>0</v>
      </c>
      <c r="H586">
        <v>0.7</v>
      </c>
      <c r="I586">
        <v>5.0209999999999999</v>
      </c>
      <c r="J586">
        <v>0.85699999999999998</v>
      </c>
      <c r="K586">
        <v>3.35</v>
      </c>
      <c r="L586">
        <v>6.44</v>
      </c>
      <c r="M586">
        <v>11.6</v>
      </c>
      <c r="N586">
        <v>18.600000000000001</v>
      </c>
      <c r="O586">
        <v>15.65</v>
      </c>
      <c r="P586">
        <v>84.25</v>
      </c>
      <c r="Q586">
        <v>0.09</v>
      </c>
    </row>
    <row r="587" spans="1:17">
      <c r="A587">
        <v>966.5</v>
      </c>
      <c r="B587">
        <v>958.4</v>
      </c>
      <c r="C587">
        <v>623</v>
      </c>
      <c r="D587">
        <v>554</v>
      </c>
      <c r="E587" t="s">
        <v>66</v>
      </c>
      <c r="F587" t="b">
        <v>0</v>
      </c>
      <c r="G587" t="b">
        <v>0</v>
      </c>
      <c r="H587">
        <v>1.5</v>
      </c>
      <c r="I587">
        <v>5.0209999999999999</v>
      </c>
      <c r="J587" t="s">
        <v>159</v>
      </c>
      <c r="K587" t="s">
        <v>159</v>
      </c>
      <c r="L587" t="s">
        <v>159</v>
      </c>
      <c r="M587" t="s">
        <v>159</v>
      </c>
      <c r="N587" t="s">
        <v>159</v>
      </c>
      <c r="O587" t="s">
        <v>159</v>
      </c>
      <c r="P587" t="s">
        <v>159</v>
      </c>
      <c r="Q587" t="s">
        <v>159</v>
      </c>
    </row>
    <row r="588" spans="1:17">
      <c r="A588">
        <v>967.7</v>
      </c>
      <c r="B588">
        <v>959.6</v>
      </c>
      <c r="C588">
        <v>624</v>
      </c>
      <c r="D588">
        <v>555</v>
      </c>
      <c r="E588" t="s">
        <v>66</v>
      </c>
      <c r="F588" t="b">
        <v>0</v>
      </c>
      <c r="G588" t="b">
        <v>0</v>
      </c>
      <c r="H588">
        <v>1.2</v>
      </c>
      <c r="I588">
        <v>5.0209999999999999</v>
      </c>
      <c r="J588" t="s">
        <v>159</v>
      </c>
      <c r="K588" t="s">
        <v>159</v>
      </c>
      <c r="L588" t="s">
        <v>159</v>
      </c>
      <c r="M588" t="s">
        <v>159</v>
      </c>
      <c r="N588" t="s">
        <v>159</v>
      </c>
      <c r="O588" t="s">
        <v>159</v>
      </c>
      <c r="P588" t="s">
        <v>159</v>
      </c>
      <c r="Q588" t="s">
        <v>159</v>
      </c>
    </row>
    <row r="589" spans="1:17">
      <c r="A589">
        <v>969.3</v>
      </c>
      <c r="B589">
        <v>961.1</v>
      </c>
      <c r="C589">
        <v>625</v>
      </c>
      <c r="D589">
        <v>556</v>
      </c>
      <c r="E589" t="s">
        <v>66</v>
      </c>
      <c r="F589" t="b">
        <v>0</v>
      </c>
      <c r="G589" t="b">
        <v>0</v>
      </c>
      <c r="H589">
        <v>1.6</v>
      </c>
      <c r="I589">
        <v>5.0209999999999999</v>
      </c>
      <c r="J589" t="s">
        <v>159</v>
      </c>
      <c r="K589" t="s">
        <v>159</v>
      </c>
      <c r="L589" t="s">
        <v>159</v>
      </c>
      <c r="M589" t="s">
        <v>159</v>
      </c>
      <c r="N589" t="s">
        <v>159</v>
      </c>
      <c r="O589" t="s">
        <v>159</v>
      </c>
      <c r="P589" t="s">
        <v>159</v>
      </c>
      <c r="Q589" t="s">
        <v>159</v>
      </c>
    </row>
    <row r="590" spans="1:17">
      <c r="A590">
        <v>970.7</v>
      </c>
      <c r="B590">
        <v>962.5</v>
      </c>
      <c r="C590">
        <v>626</v>
      </c>
      <c r="D590">
        <v>557</v>
      </c>
      <c r="E590" t="s">
        <v>66</v>
      </c>
      <c r="F590" t="b">
        <v>0</v>
      </c>
      <c r="G590" t="b">
        <v>0</v>
      </c>
      <c r="H590">
        <v>1.4</v>
      </c>
      <c r="I590">
        <v>5.0209999999999999</v>
      </c>
      <c r="J590" t="s">
        <v>159</v>
      </c>
      <c r="K590" t="s">
        <v>159</v>
      </c>
      <c r="L590" t="s">
        <v>159</v>
      </c>
      <c r="M590" t="s">
        <v>159</v>
      </c>
      <c r="N590" t="s">
        <v>159</v>
      </c>
      <c r="O590" t="s">
        <v>159</v>
      </c>
      <c r="P590" t="s">
        <v>159</v>
      </c>
      <c r="Q590" t="s">
        <v>159</v>
      </c>
    </row>
    <row r="591" spans="1:17">
      <c r="A591">
        <v>971.6</v>
      </c>
      <c r="B591">
        <v>963.4</v>
      </c>
      <c r="C591">
        <v>627</v>
      </c>
      <c r="D591">
        <v>558</v>
      </c>
      <c r="E591" t="s">
        <v>66</v>
      </c>
      <c r="F591" t="b">
        <v>0</v>
      </c>
      <c r="G591" t="b">
        <v>0</v>
      </c>
      <c r="H591">
        <v>0.9</v>
      </c>
      <c r="I591">
        <v>5.0209999999999999</v>
      </c>
      <c r="J591" t="s">
        <v>159</v>
      </c>
      <c r="K591" t="s">
        <v>159</v>
      </c>
      <c r="L591" t="s">
        <v>159</v>
      </c>
      <c r="M591" t="s">
        <v>159</v>
      </c>
      <c r="N591" t="s">
        <v>159</v>
      </c>
      <c r="O591" t="s">
        <v>159</v>
      </c>
      <c r="P591" t="s">
        <v>159</v>
      </c>
      <c r="Q591" t="s">
        <v>159</v>
      </c>
    </row>
    <row r="592" spans="1:17">
      <c r="A592">
        <v>995.1</v>
      </c>
      <c r="B592">
        <v>987</v>
      </c>
      <c r="C592">
        <v>643</v>
      </c>
      <c r="D592">
        <v>577</v>
      </c>
      <c r="E592" t="s">
        <v>66</v>
      </c>
      <c r="F592" t="b">
        <v>0</v>
      </c>
      <c r="G592" t="b">
        <v>1</v>
      </c>
      <c r="H592">
        <v>23.6</v>
      </c>
      <c r="I592" t="s">
        <v>159</v>
      </c>
      <c r="J592">
        <v>0.629</v>
      </c>
      <c r="K592">
        <v>1.81</v>
      </c>
      <c r="L592">
        <v>4.9400000000000004</v>
      </c>
      <c r="M592">
        <v>10.3</v>
      </c>
      <c r="N592">
        <v>18.600000000000001</v>
      </c>
      <c r="O592">
        <v>26.2</v>
      </c>
      <c r="P592">
        <v>73.760000000000005</v>
      </c>
      <c r="Q592">
        <v>0.04</v>
      </c>
    </row>
    <row r="593" spans="1:17">
      <c r="A593">
        <v>1029.5</v>
      </c>
      <c r="B593">
        <v>1021.3</v>
      </c>
      <c r="C593">
        <v>668</v>
      </c>
      <c r="D593">
        <v>604</v>
      </c>
      <c r="E593" t="s">
        <v>66</v>
      </c>
      <c r="F593" t="b">
        <v>0</v>
      </c>
      <c r="G593" t="b">
        <v>1</v>
      </c>
      <c r="H593">
        <v>34.299999999999997</v>
      </c>
      <c r="I593">
        <v>4.5540000000000003</v>
      </c>
      <c r="J593" t="s">
        <v>159</v>
      </c>
      <c r="K593" t="s">
        <v>159</v>
      </c>
      <c r="L593" t="s">
        <v>159</v>
      </c>
      <c r="M593" t="s">
        <v>159</v>
      </c>
      <c r="N593" t="s">
        <v>159</v>
      </c>
      <c r="O593" t="s">
        <v>159</v>
      </c>
      <c r="P593" t="s">
        <v>159</v>
      </c>
      <c r="Q593" t="s">
        <v>159</v>
      </c>
    </row>
    <row r="594" spans="1:17">
      <c r="A594">
        <v>1031.9000000000001</v>
      </c>
      <c r="B594">
        <v>1023.8</v>
      </c>
      <c r="C594">
        <v>670</v>
      </c>
      <c r="D594">
        <v>605</v>
      </c>
      <c r="E594" t="s">
        <v>66</v>
      </c>
      <c r="F594" t="b">
        <v>0</v>
      </c>
      <c r="G594" t="b">
        <v>0</v>
      </c>
      <c r="H594">
        <v>2.5</v>
      </c>
      <c r="I594" t="s">
        <v>159</v>
      </c>
      <c r="J594" t="s">
        <v>159</v>
      </c>
      <c r="K594" t="s">
        <v>159</v>
      </c>
      <c r="L594" t="s">
        <v>159</v>
      </c>
      <c r="M594" t="s">
        <v>159</v>
      </c>
      <c r="N594" t="s">
        <v>159</v>
      </c>
      <c r="O594" t="s">
        <v>159</v>
      </c>
      <c r="P594" t="s">
        <v>159</v>
      </c>
      <c r="Q594" t="s">
        <v>159</v>
      </c>
    </row>
    <row r="595" spans="1:17">
      <c r="A595">
        <v>1049</v>
      </c>
      <c r="B595">
        <v>1040.8</v>
      </c>
      <c r="C595">
        <v>682</v>
      </c>
      <c r="D595">
        <v>619</v>
      </c>
      <c r="E595" t="s">
        <v>66</v>
      </c>
      <c r="F595" t="b">
        <v>0</v>
      </c>
      <c r="G595" t="b">
        <v>1</v>
      </c>
      <c r="H595">
        <v>17</v>
      </c>
      <c r="I595" t="s">
        <v>159</v>
      </c>
      <c r="J595">
        <v>0.70899999999999996</v>
      </c>
      <c r="K595">
        <v>2.4700000000000002</v>
      </c>
      <c r="L595">
        <v>5.5</v>
      </c>
      <c r="M595">
        <v>10.9</v>
      </c>
      <c r="N595">
        <v>19.100000000000001</v>
      </c>
      <c r="O595">
        <v>21.75</v>
      </c>
      <c r="P595">
        <v>78.040000000000006</v>
      </c>
      <c r="Q595">
        <v>0.21</v>
      </c>
    </row>
    <row r="596" spans="1:17">
      <c r="A596">
        <v>1050.2</v>
      </c>
      <c r="B596">
        <v>1042</v>
      </c>
      <c r="C596">
        <v>683</v>
      </c>
      <c r="D596">
        <v>620</v>
      </c>
      <c r="E596" t="s">
        <v>66</v>
      </c>
      <c r="F596" t="b">
        <v>0</v>
      </c>
      <c r="G596" t="b">
        <v>0</v>
      </c>
      <c r="H596">
        <v>1.2</v>
      </c>
      <c r="I596" t="s">
        <v>159</v>
      </c>
      <c r="J596">
        <v>0.70899999999999996</v>
      </c>
      <c r="K596">
        <v>2.4700000000000002</v>
      </c>
      <c r="L596">
        <v>5.5</v>
      </c>
      <c r="M596">
        <v>10.9</v>
      </c>
      <c r="N596">
        <v>19.100000000000001</v>
      </c>
      <c r="O596">
        <v>21.75</v>
      </c>
      <c r="P596">
        <v>78.040000000000006</v>
      </c>
      <c r="Q596">
        <v>0.21</v>
      </c>
    </row>
    <row r="597" spans="1:17">
      <c r="A597">
        <v>1051.5999999999999</v>
      </c>
      <c r="B597">
        <v>1043.4000000000001</v>
      </c>
      <c r="C597">
        <v>684</v>
      </c>
      <c r="D597">
        <v>621</v>
      </c>
      <c r="E597" t="s">
        <v>66</v>
      </c>
      <c r="F597" t="b">
        <v>0</v>
      </c>
      <c r="G597" t="b">
        <v>0</v>
      </c>
      <c r="H597">
        <v>1.4</v>
      </c>
      <c r="I597" t="s">
        <v>159</v>
      </c>
      <c r="J597">
        <v>0.70899999999999996</v>
      </c>
      <c r="K597">
        <v>2.4700000000000002</v>
      </c>
      <c r="L597">
        <v>5.5</v>
      </c>
      <c r="M597">
        <v>10.9</v>
      </c>
      <c r="N597">
        <v>19.100000000000001</v>
      </c>
      <c r="O597">
        <v>21.75</v>
      </c>
      <c r="P597">
        <v>78.040000000000006</v>
      </c>
      <c r="Q597">
        <v>0.21</v>
      </c>
    </row>
    <row r="598" spans="1:17">
      <c r="A598">
        <v>1053.0999999999999</v>
      </c>
      <c r="B598">
        <v>1045</v>
      </c>
      <c r="C598">
        <v>685</v>
      </c>
      <c r="D598">
        <v>622</v>
      </c>
      <c r="E598" t="s">
        <v>66</v>
      </c>
      <c r="F598" t="b">
        <v>0</v>
      </c>
      <c r="G598" t="b">
        <v>0</v>
      </c>
      <c r="H598">
        <v>1.6</v>
      </c>
      <c r="I598" t="s">
        <v>159</v>
      </c>
      <c r="J598">
        <v>0.70899999999999996</v>
      </c>
      <c r="K598">
        <v>2.4700000000000002</v>
      </c>
      <c r="L598">
        <v>5.5</v>
      </c>
      <c r="M598">
        <v>10.9</v>
      </c>
      <c r="N598">
        <v>19.100000000000001</v>
      </c>
      <c r="O598">
        <v>21.75</v>
      </c>
      <c r="P598">
        <v>78.040000000000006</v>
      </c>
      <c r="Q598">
        <v>0.21</v>
      </c>
    </row>
    <row r="599" spans="1:17">
      <c r="A599">
        <v>1054.8</v>
      </c>
      <c r="B599">
        <v>1046.7</v>
      </c>
      <c r="C599">
        <v>686</v>
      </c>
      <c r="D599">
        <v>623</v>
      </c>
      <c r="E599" t="s">
        <v>66</v>
      </c>
      <c r="F599" t="b">
        <v>0</v>
      </c>
      <c r="G599" t="b">
        <v>0</v>
      </c>
      <c r="H599">
        <v>1.7</v>
      </c>
      <c r="I599" t="s">
        <v>159</v>
      </c>
      <c r="J599">
        <v>0.70899999999999996</v>
      </c>
      <c r="K599">
        <v>2.4700000000000002</v>
      </c>
      <c r="L599">
        <v>5.5</v>
      </c>
      <c r="M599">
        <v>10.9</v>
      </c>
      <c r="N599">
        <v>19.100000000000001</v>
      </c>
      <c r="O599">
        <v>21.75</v>
      </c>
      <c r="P599">
        <v>78.040000000000006</v>
      </c>
      <c r="Q599">
        <v>0.21</v>
      </c>
    </row>
    <row r="600" spans="1:17">
      <c r="A600">
        <v>1056.3</v>
      </c>
      <c r="B600">
        <v>1048.2</v>
      </c>
      <c r="C600">
        <v>688</v>
      </c>
      <c r="D600">
        <v>624</v>
      </c>
      <c r="E600" t="s">
        <v>66</v>
      </c>
      <c r="F600" t="b">
        <v>0</v>
      </c>
      <c r="G600" t="b">
        <v>0</v>
      </c>
      <c r="H600">
        <v>1.5</v>
      </c>
      <c r="I600" t="s">
        <v>159</v>
      </c>
      <c r="J600">
        <v>0.70899999999999996</v>
      </c>
      <c r="K600">
        <v>2.4700000000000002</v>
      </c>
      <c r="L600">
        <v>5.5</v>
      </c>
      <c r="M600">
        <v>10.9</v>
      </c>
      <c r="N600">
        <v>19.100000000000001</v>
      </c>
      <c r="O600">
        <v>21.75</v>
      </c>
      <c r="P600">
        <v>78.040000000000006</v>
      </c>
      <c r="Q600">
        <v>0.21</v>
      </c>
    </row>
    <row r="601" spans="1:17">
      <c r="A601">
        <v>1057.4000000000001</v>
      </c>
      <c r="B601">
        <v>1049.3</v>
      </c>
      <c r="C601">
        <v>688</v>
      </c>
      <c r="D601">
        <v>625</v>
      </c>
      <c r="E601" t="s">
        <v>66</v>
      </c>
      <c r="F601" t="b">
        <v>0</v>
      </c>
      <c r="G601" t="b">
        <v>0</v>
      </c>
      <c r="H601">
        <v>1.1000000000000001</v>
      </c>
      <c r="I601" t="s">
        <v>159</v>
      </c>
      <c r="J601">
        <v>0.70899999999999996</v>
      </c>
      <c r="K601">
        <v>2.4700000000000002</v>
      </c>
      <c r="L601">
        <v>5.5</v>
      </c>
      <c r="M601">
        <v>10.9</v>
      </c>
      <c r="N601">
        <v>19.100000000000001</v>
      </c>
      <c r="O601">
        <v>21.75</v>
      </c>
      <c r="P601">
        <v>78.040000000000006</v>
      </c>
      <c r="Q601">
        <v>0.21</v>
      </c>
    </row>
    <row r="602" spans="1:17">
      <c r="A602">
        <v>1059.4000000000001</v>
      </c>
      <c r="B602">
        <v>1051.3</v>
      </c>
      <c r="C602">
        <v>690</v>
      </c>
      <c r="D602">
        <v>626</v>
      </c>
      <c r="E602" t="s">
        <v>66</v>
      </c>
      <c r="F602" t="b">
        <v>0</v>
      </c>
      <c r="G602" t="b">
        <v>0</v>
      </c>
      <c r="H602">
        <v>2</v>
      </c>
      <c r="I602" t="s">
        <v>159</v>
      </c>
      <c r="J602">
        <v>0.70899999999999996</v>
      </c>
      <c r="K602">
        <v>2.4700000000000002</v>
      </c>
      <c r="L602">
        <v>5.5</v>
      </c>
      <c r="M602">
        <v>10.9</v>
      </c>
      <c r="N602">
        <v>19.100000000000001</v>
      </c>
      <c r="O602">
        <v>21.75</v>
      </c>
      <c r="P602">
        <v>78.040000000000006</v>
      </c>
      <c r="Q602">
        <v>0.21</v>
      </c>
    </row>
    <row r="603" spans="1:17">
      <c r="A603">
        <v>1062.0999999999999</v>
      </c>
      <c r="B603">
        <v>1054</v>
      </c>
      <c r="C603">
        <v>692</v>
      </c>
      <c r="D603">
        <v>628</v>
      </c>
      <c r="E603" t="s">
        <v>66</v>
      </c>
      <c r="F603" t="b">
        <v>0</v>
      </c>
      <c r="G603" t="b">
        <v>1</v>
      </c>
      <c r="H603">
        <v>2.7</v>
      </c>
      <c r="I603">
        <v>5.0599999999999996</v>
      </c>
      <c r="J603">
        <v>0.70899999999999996</v>
      </c>
      <c r="K603">
        <v>2.4700000000000002</v>
      </c>
      <c r="L603">
        <v>5.5</v>
      </c>
      <c r="M603">
        <v>10.9</v>
      </c>
      <c r="N603">
        <v>19.100000000000001</v>
      </c>
      <c r="O603">
        <v>21.75</v>
      </c>
      <c r="P603">
        <v>78.040000000000006</v>
      </c>
      <c r="Q603">
        <v>0.21</v>
      </c>
    </row>
    <row r="604" spans="1:17">
      <c r="A604">
        <v>1063.4000000000001</v>
      </c>
      <c r="B604">
        <v>1055.2</v>
      </c>
      <c r="C604">
        <v>693</v>
      </c>
      <c r="D604">
        <v>629</v>
      </c>
      <c r="E604" t="s">
        <v>66</v>
      </c>
      <c r="F604" t="b">
        <v>0</v>
      </c>
      <c r="G604" t="b">
        <v>0</v>
      </c>
      <c r="H604">
        <v>1.3</v>
      </c>
      <c r="I604">
        <v>5.0599999999999996</v>
      </c>
      <c r="J604">
        <v>0.70899999999999996</v>
      </c>
      <c r="K604">
        <v>2.4700000000000002</v>
      </c>
      <c r="L604">
        <v>5.5</v>
      </c>
      <c r="M604">
        <v>10.9</v>
      </c>
      <c r="N604">
        <v>19.100000000000001</v>
      </c>
      <c r="O604">
        <v>21.75</v>
      </c>
      <c r="P604">
        <v>78.040000000000006</v>
      </c>
      <c r="Q604">
        <v>0.21</v>
      </c>
    </row>
    <row r="605" spans="1:17">
      <c r="A605">
        <v>1064.0999999999999</v>
      </c>
      <c r="B605">
        <v>1056</v>
      </c>
      <c r="C605">
        <v>693</v>
      </c>
      <c r="D605">
        <v>630</v>
      </c>
      <c r="E605" t="s">
        <v>66</v>
      </c>
      <c r="F605" t="b">
        <v>0</v>
      </c>
      <c r="G605" t="b">
        <v>0</v>
      </c>
      <c r="H605">
        <v>0.7</v>
      </c>
      <c r="I605">
        <v>5.0599999999999996</v>
      </c>
      <c r="J605">
        <v>0.70899999999999996</v>
      </c>
      <c r="K605">
        <v>2.4700000000000002</v>
      </c>
      <c r="L605">
        <v>5.5</v>
      </c>
      <c r="M605">
        <v>10.9</v>
      </c>
      <c r="N605">
        <v>19.100000000000001</v>
      </c>
      <c r="O605">
        <v>21.75</v>
      </c>
      <c r="P605">
        <v>78.040000000000006</v>
      </c>
      <c r="Q605">
        <v>0.21</v>
      </c>
    </row>
    <row r="606" spans="1:17">
      <c r="A606">
        <v>1065.4000000000001</v>
      </c>
      <c r="B606">
        <v>1057.3</v>
      </c>
      <c r="C606">
        <v>694</v>
      </c>
      <c r="D606">
        <v>631</v>
      </c>
      <c r="E606" t="s">
        <v>66</v>
      </c>
      <c r="F606" t="b">
        <v>0</v>
      </c>
      <c r="G606" t="b">
        <v>0</v>
      </c>
      <c r="H606">
        <v>1.3</v>
      </c>
      <c r="I606">
        <v>5.0599999999999996</v>
      </c>
      <c r="J606">
        <v>0.70899999999999996</v>
      </c>
      <c r="K606">
        <v>2.4700000000000002</v>
      </c>
      <c r="L606">
        <v>5.5</v>
      </c>
      <c r="M606">
        <v>10.9</v>
      </c>
      <c r="N606">
        <v>19.100000000000001</v>
      </c>
      <c r="O606">
        <v>21.75</v>
      </c>
      <c r="P606">
        <v>78.040000000000006</v>
      </c>
      <c r="Q606">
        <v>0.21</v>
      </c>
    </row>
    <row r="607" spans="1:17">
      <c r="A607">
        <v>1066.0999999999999</v>
      </c>
      <c r="B607">
        <v>1057.9000000000001</v>
      </c>
      <c r="C607">
        <v>695</v>
      </c>
      <c r="D607">
        <v>632</v>
      </c>
      <c r="E607" t="s">
        <v>66</v>
      </c>
      <c r="F607" t="b">
        <v>0</v>
      </c>
      <c r="G607" t="b">
        <v>0</v>
      </c>
      <c r="H607">
        <v>0.6</v>
      </c>
      <c r="I607">
        <v>5.0599999999999996</v>
      </c>
      <c r="J607" t="s">
        <v>159</v>
      </c>
      <c r="K607" t="s">
        <v>159</v>
      </c>
      <c r="L607" t="s">
        <v>159</v>
      </c>
      <c r="M607" t="s">
        <v>159</v>
      </c>
      <c r="N607" t="s">
        <v>159</v>
      </c>
      <c r="O607" t="s">
        <v>159</v>
      </c>
      <c r="P607" t="s">
        <v>159</v>
      </c>
      <c r="Q607" t="s">
        <v>159</v>
      </c>
    </row>
    <row r="608" spans="1:17">
      <c r="A608">
        <v>1067.0999999999999</v>
      </c>
      <c r="B608">
        <v>1058.9000000000001</v>
      </c>
      <c r="C608">
        <v>695</v>
      </c>
      <c r="D608">
        <v>633</v>
      </c>
      <c r="E608" t="s">
        <v>66</v>
      </c>
      <c r="F608" t="b">
        <v>0</v>
      </c>
      <c r="G608" t="b">
        <v>0</v>
      </c>
      <c r="H608">
        <v>1</v>
      </c>
      <c r="I608">
        <v>5.0599999999999996</v>
      </c>
      <c r="J608" t="s">
        <v>159</v>
      </c>
      <c r="K608" t="s">
        <v>159</v>
      </c>
      <c r="L608" t="s">
        <v>159</v>
      </c>
      <c r="M608" t="s">
        <v>159</v>
      </c>
      <c r="N608" t="s">
        <v>159</v>
      </c>
      <c r="O608" t="s">
        <v>159</v>
      </c>
      <c r="P608" t="s">
        <v>159</v>
      </c>
      <c r="Q608" t="s">
        <v>159</v>
      </c>
    </row>
    <row r="609" spans="1:17">
      <c r="A609">
        <v>1068.4000000000001</v>
      </c>
      <c r="B609">
        <v>1060.3</v>
      </c>
      <c r="C609">
        <v>696</v>
      </c>
      <c r="D609">
        <v>634</v>
      </c>
      <c r="E609" t="s">
        <v>66</v>
      </c>
      <c r="F609" t="b">
        <v>0</v>
      </c>
      <c r="G609" t="b">
        <v>0</v>
      </c>
      <c r="H609">
        <v>1.4</v>
      </c>
      <c r="I609">
        <v>5.0599999999999996</v>
      </c>
      <c r="J609" t="s">
        <v>159</v>
      </c>
      <c r="K609" t="s">
        <v>159</v>
      </c>
      <c r="L609" t="s">
        <v>159</v>
      </c>
      <c r="M609" t="s">
        <v>159</v>
      </c>
      <c r="N609" t="s">
        <v>159</v>
      </c>
      <c r="O609" t="s">
        <v>159</v>
      </c>
      <c r="P609" t="s">
        <v>159</v>
      </c>
      <c r="Q609" t="s">
        <v>159</v>
      </c>
    </row>
    <row r="610" spans="1:17">
      <c r="A610">
        <v>1069.4000000000001</v>
      </c>
      <c r="B610">
        <v>1061.2</v>
      </c>
      <c r="C610">
        <v>697</v>
      </c>
      <c r="D610">
        <v>635</v>
      </c>
      <c r="E610" t="s">
        <v>66</v>
      </c>
      <c r="F610" t="b">
        <v>0</v>
      </c>
      <c r="G610" t="b">
        <v>0</v>
      </c>
      <c r="H610">
        <v>0.9</v>
      </c>
      <c r="I610">
        <v>5.0599999999999996</v>
      </c>
      <c r="J610" t="s">
        <v>159</v>
      </c>
      <c r="K610" t="s">
        <v>159</v>
      </c>
      <c r="L610" t="s">
        <v>159</v>
      </c>
      <c r="M610" t="s">
        <v>159</v>
      </c>
      <c r="N610" t="s">
        <v>159</v>
      </c>
      <c r="O610" t="s">
        <v>159</v>
      </c>
      <c r="P610" t="s">
        <v>159</v>
      </c>
      <c r="Q610" t="s">
        <v>159</v>
      </c>
    </row>
    <row r="611" spans="1:17">
      <c r="A611">
        <v>1070.5999999999999</v>
      </c>
      <c r="B611">
        <v>1062.4000000000001</v>
      </c>
      <c r="C611">
        <v>698</v>
      </c>
      <c r="D611">
        <v>636</v>
      </c>
      <c r="E611" t="s">
        <v>66</v>
      </c>
      <c r="F611" t="b">
        <v>0</v>
      </c>
      <c r="G611" t="b">
        <v>0</v>
      </c>
      <c r="H611">
        <v>1.2</v>
      </c>
      <c r="I611">
        <v>5.0599999999999996</v>
      </c>
      <c r="J611" t="s">
        <v>159</v>
      </c>
      <c r="K611" t="s">
        <v>159</v>
      </c>
      <c r="L611" t="s">
        <v>159</v>
      </c>
      <c r="M611" t="s">
        <v>159</v>
      </c>
      <c r="N611" t="s">
        <v>159</v>
      </c>
      <c r="O611" t="s">
        <v>159</v>
      </c>
      <c r="P611" t="s">
        <v>159</v>
      </c>
      <c r="Q611" t="s">
        <v>159</v>
      </c>
    </row>
    <row r="612" spans="1:17">
      <c r="A612">
        <v>1071.5</v>
      </c>
      <c r="B612">
        <v>1063.4000000000001</v>
      </c>
      <c r="C612">
        <v>698</v>
      </c>
      <c r="D612">
        <v>637</v>
      </c>
      <c r="E612" t="s">
        <v>66</v>
      </c>
      <c r="F612" t="b">
        <v>0</v>
      </c>
      <c r="G612" t="b">
        <v>0</v>
      </c>
      <c r="H612">
        <v>0.9</v>
      </c>
      <c r="I612">
        <v>5.0599999999999996</v>
      </c>
      <c r="J612" t="s">
        <v>159</v>
      </c>
      <c r="K612" t="s">
        <v>159</v>
      </c>
      <c r="L612" t="s">
        <v>159</v>
      </c>
      <c r="M612" t="s">
        <v>159</v>
      </c>
      <c r="N612" t="s">
        <v>159</v>
      </c>
      <c r="O612" t="s">
        <v>159</v>
      </c>
      <c r="P612" t="s">
        <v>159</v>
      </c>
      <c r="Q612" t="s">
        <v>159</v>
      </c>
    </row>
    <row r="613" spans="1:17">
      <c r="A613">
        <v>1072.0999999999999</v>
      </c>
      <c r="B613">
        <v>1064</v>
      </c>
      <c r="C613">
        <v>699</v>
      </c>
      <c r="D613">
        <v>638</v>
      </c>
      <c r="E613" t="s">
        <v>66</v>
      </c>
      <c r="F613" t="b">
        <v>0</v>
      </c>
      <c r="G613" t="b">
        <v>0</v>
      </c>
      <c r="H613">
        <v>0.7</v>
      </c>
      <c r="I613">
        <v>5.0599999999999996</v>
      </c>
      <c r="J613" t="s">
        <v>159</v>
      </c>
      <c r="K613" t="s">
        <v>159</v>
      </c>
      <c r="L613" t="s">
        <v>159</v>
      </c>
      <c r="M613" t="s">
        <v>159</v>
      </c>
      <c r="N613" t="s">
        <v>159</v>
      </c>
      <c r="O613" t="s">
        <v>159</v>
      </c>
      <c r="P613" t="s">
        <v>159</v>
      </c>
      <c r="Q613" t="s">
        <v>159</v>
      </c>
    </row>
    <row r="614" spans="1:17">
      <c r="A614">
        <v>1072.9000000000001</v>
      </c>
      <c r="B614">
        <v>1064.8</v>
      </c>
      <c r="C614">
        <v>699</v>
      </c>
      <c r="D614">
        <v>639</v>
      </c>
      <c r="E614" t="s">
        <v>66</v>
      </c>
      <c r="F614" t="b">
        <v>0</v>
      </c>
      <c r="G614" t="b">
        <v>0</v>
      </c>
      <c r="H614">
        <v>0.8</v>
      </c>
      <c r="I614">
        <v>5.0599999999999996</v>
      </c>
      <c r="J614" t="s">
        <v>159</v>
      </c>
      <c r="K614" t="s">
        <v>159</v>
      </c>
      <c r="L614" t="s">
        <v>159</v>
      </c>
      <c r="M614" t="s">
        <v>159</v>
      </c>
      <c r="N614" t="s">
        <v>159</v>
      </c>
      <c r="O614" t="s">
        <v>159</v>
      </c>
      <c r="P614" t="s">
        <v>159</v>
      </c>
      <c r="Q614" t="s">
        <v>159</v>
      </c>
    </row>
    <row r="615" spans="1:17">
      <c r="A615">
        <v>1073.7</v>
      </c>
      <c r="B615">
        <v>1065.5</v>
      </c>
      <c r="C615">
        <v>700</v>
      </c>
      <c r="D615">
        <v>640</v>
      </c>
      <c r="E615" t="s">
        <v>66</v>
      </c>
      <c r="F615" t="b">
        <v>0</v>
      </c>
      <c r="G615" t="b">
        <v>0</v>
      </c>
      <c r="H615">
        <v>0.8</v>
      </c>
      <c r="I615">
        <v>5.0599999999999996</v>
      </c>
      <c r="J615" t="s">
        <v>159</v>
      </c>
      <c r="K615" t="s">
        <v>159</v>
      </c>
      <c r="L615" t="s">
        <v>159</v>
      </c>
      <c r="M615" t="s">
        <v>159</v>
      </c>
      <c r="N615" t="s">
        <v>159</v>
      </c>
      <c r="O615" t="s">
        <v>159</v>
      </c>
      <c r="P615" t="s">
        <v>159</v>
      </c>
      <c r="Q615" t="s">
        <v>159</v>
      </c>
    </row>
    <row r="616" spans="1:17">
      <c r="A616">
        <v>1075.5</v>
      </c>
      <c r="B616">
        <v>1067.3</v>
      </c>
      <c r="C616">
        <v>701</v>
      </c>
      <c r="D616">
        <v>641</v>
      </c>
      <c r="E616" t="s">
        <v>66</v>
      </c>
      <c r="F616" t="b">
        <v>0</v>
      </c>
      <c r="G616" t="b">
        <v>0</v>
      </c>
      <c r="H616">
        <v>1.8</v>
      </c>
      <c r="I616">
        <v>5.0599999999999996</v>
      </c>
      <c r="J616" t="s">
        <v>159</v>
      </c>
      <c r="K616" t="s">
        <v>159</v>
      </c>
      <c r="L616" t="s">
        <v>159</v>
      </c>
      <c r="M616" t="s">
        <v>159</v>
      </c>
      <c r="N616" t="s">
        <v>159</v>
      </c>
      <c r="O616" t="s">
        <v>159</v>
      </c>
      <c r="P616" t="s">
        <v>159</v>
      </c>
      <c r="Q616" t="s">
        <v>159</v>
      </c>
    </row>
    <row r="617" spans="1:17">
      <c r="A617">
        <v>1077.3</v>
      </c>
      <c r="B617">
        <v>1069.0999999999999</v>
      </c>
      <c r="C617">
        <v>703</v>
      </c>
      <c r="D617">
        <v>642</v>
      </c>
      <c r="E617" t="s">
        <v>66</v>
      </c>
      <c r="F617" t="b">
        <v>0</v>
      </c>
      <c r="G617" t="b">
        <v>0</v>
      </c>
      <c r="H617">
        <v>1.8</v>
      </c>
      <c r="I617">
        <v>5.0599999999999996</v>
      </c>
      <c r="J617" t="s">
        <v>159</v>
      </c>
      <c r="K617" t="s">
        <v>159</v>
      </c>
      <c r="L617" t="s">
        <v>159</v>
      </c>
      <c r="M617" t="s">
        <v>159</v>
      </c>
      <c r="N617" t="s">
        <v>159</v>
      </c>
      <c r="O617" t="s">
        <v>159</v>
      </c>
      <c r="P617" t="s">
        <v>159</v>
      </c>
      <c r="Q617" t="s">
        <v>159</v>
      </c>
    </row>
    <row r="618" spans="1:17">
      <c r="A618">
        <v>1077.9000000000001</v>
      </c>
      <c r="B618">
        <v>1069.8</v>
      </c>
      <c r="C618">
        <v>703</v>
      </c>
      <c r="D618">
        <v>643</v>
      </c>
      <c r="E618" t="s">
        <v>66</v>
      </c>
      <c r="F618" t="b">
        <v>0</v>
      </c>
      <c r="G618" t="b">
        <v>0</v>
      </c>
      <c r="H618">
        <v>0.6</v>
      </c>
      <c r="I618">
        <v>5.0599999999999996</v>
      </c>
      <c r="J618" t="s">
        <v>159</v>
      </c>
      <c r="K618" t="s">
        <v>159</v>
      </c>
      <c r="L618" t="s">
        <v>159</v>
      </c>
      <c r="M618" t="s">
        <v>159</v>
      </c>
      <c r="N618" t="s">
        <v>159</v>
      </c>
      <c r="O618" t="s">
        <v>159</v>
      </c>
      <c r="P618" t="s">
        <v>159</v>
      </c>
      <c r="Q618" t="s">
        <v>159</v>
      </c>
    </row>
    <row r="619" spans="1:17">
      <c r="A619">
        <v>1078.9000000000001</v>
      </c>
      <c r="B619">
        <v>1070.8</v>
      </c>
      <c r="C619">
        <v>704</v>
      </c>
      <c r="D619">
        <v>644</v>
      </c>
      <c r="E619" t="s">
        <v>66</v>
      </c>
      <c r="F619" t="b">
        <v>0</v>
      </c>
      <c r="G619" t="b">
        <v>0</v>
      </c>
      <c r="H619">
        <v>1</v>
      </c>
      <c r="I619">
        <v>5.0599999999999996</v>
      </c>
      <c r="J619" t="s">
        <v>159</v>
      </c>
      <c r="K619" t="s">
        <v>159</v>
      </c>
      <c r="L619" t="s">
        <v>159</v>
      </c>
      <c r="M619" t="s">
        <v>159</v>
      </c>
      <c r="N619" t="s">
        <v>159</v>
      </c>
      <c r="O619" t="s">
        <v>159</v>
      </c>
      <c r="P619" t="s">
        <v>159</v>
      </c>
      <c r="Q619" t="s">
        <v>159</v>
      </c>
    </row>
    <row r="620" spans="1:17">
      <c r="A620">
        <v>1079.7</v>
      </c>
      <c r="B620">
        <v>1071.5999999999999</v>
      </c>
      <c r="C620">
        <v>704</v>
      </c>
      <c r="D620">
        <v>645</v>
      </c>
      <c r="E620" t="s">
        <v>66</v>
      </c>
      <c r="F620" t="b">
        <v>0</v>
      </c>
      <c r="G620" t="b">
        <v>0</v>
      </c>
      <c r="H620">
        <v>0.8</v>
      </c>
      <c r="I620">
        <v>5.0599999999999996</v>
      </c>
      <c r="J620" t="s">
        <v>159</v>
      </c>
      <c r="K620" t="s">
        <v>159</v>
      </c>
      <c r="L620" t="s">
        <v>159</v>
      </c>
      <c r="M620" t="s">
        <v>159</v>
      </c>
      <c r="N620" t="s">
        <v>159</v>
      </c>
      <c r="O620" t="s">
        <v>159</v>
      </c>
      <c r="P620" t="s">
        <v>159</v>
      </c>
      <c r="Q620" t="s">
        <v>159</v>
      </c>
    </row>
    <row r="621" spans="1:17">
      <c r="A621">
        <v>1080.8</v>
      </c>
      <c r="B621">
        <v>1072.7</v>
      </c>
      <c r="C621">
        <v>705</v>
      </c>
      <c r="D621">
        <v>646</v>
      </c>
      <c r="E621" t="s">
        <v>66</v>
      </c>
      <c r="F621" t="b">
        <v>0</v>
      </c>
      <c r="G621" t="b">
        <v>0</v>
      </c>
      <c r="H621">
        <v>1.1000000000000001</v>
      </c>
      <c r="I621" t="s">
        <v>159</v>
      </c>
      <c r="J621" t="s">
        <v>159</v>
      </c>
      <c r="K621" t="s">
        <v>159</v>
      </c>
      <c r="L621" t="s">
        <v>159</v>
      </c>
      <c r="M621" t="s">
        <v>159</v>
      </c>
      <c r="N621" t="s">
        <v>159</v>
      </c>
      <c r="O621" t="s">
        <v>159</v>
      </c>
      <c r="P621" t="s">
        <v>159</v>
      </c>
      <c r="Q621" t="s">
        <v>159</v>
      </c>
    </row>
    <row r="622" spans="1:17">
      <c r="A622">
        <v>1081.5</v>
      </c>
      <c r="B622">
        <v>1073.4000000000001</v>
      </c>
      <c r="C622">
        <v>706</v>
      </c>
      <c r="D622">
        <v>647</v>
      </c>
      <c r="E622" t="s">
        <v>66</v>
      </c>
      <c r="F622" t="b">
        <v>0</v>
      </c>
      <c r="G622" t="b">
        <v>0</v>
      </c>
      <c r="H622">
        <v>0.7</v>
      </c>
      <c r="I622" t="s">
        <v>159</v>
      </c>
      <c r="J622" t="s">
        <v>159</v>
      </c>
      <c r="K622" t="s">
        <v>159</v>
      </c>
      <c r="L622" t="s">
        <v>159</v>
      </c>
      <c r="M622" t="s">
        <v>159</v>
      </c>
      <c r="N622" t="s">
        <v>159</v>
      </c>
      <c r="O622" t="s">
        <v>159</v>
      </c>
      <c r="P622" t="s">
        <v>159</v>
      </c>
      <c r="Q622" t="s">
        <v>159</v>
      </c>
    </row>
    <row r="623" spans="1:17">
      <c r="A623">
        <v>1090.3</v>
      </c>
      <c r="B623">
        <v>1073.4000000000001</v>
      </c>
      <c r="C623">
        <v>706</v>
      </c>
      <c r="D623">
        <v>647</v>
      </c>
      <c r="E623" t="s">
        <v>66</v>
      </c>
      <c r="F623" t="b">
        <v>1</v>
      </c>
      <c r="G623" t="b">
        <v>0</v>
      </c>
      <c r="H623">
        <v>8.8000000000000007</v>
      </c>
      <c r="I623" t="s">
        <v>159</v>
      </c>
      <c r="J623">
        <v>5.33</v>
      </c>
      <c r="K623">
        <v>8.02</v>
      </c>
      <c r="L623">
        <v>12.8</v>
      </c>
      <c r="M623">
        <v>20.399999999999999</v>
      </c>
      <c r="N623">
        <v>31.9</v>
      </c>
      <c r="O623">
        <v>5.9999999999999995E-4</v>
      </c>
      <c r="P623">
        <v>97.81</v>
      </c>
      <c r="Q623">
        <v>2.19</v>
      </c>
    </row>
    <row r="624" spans="1:17">
      <c r="A624">
        <v>1098.3</v>
      </c>
      <c r="B624">
        <v>1081.5</v>
      </c>
      <c r="C624">
        <v>711</v>
      </c>
      <c r="D624">
        <v>655</v>
      </c>
      <c r="E624" t="s">
        <v>66</v>
      </c>
      <c r="F624" t="b">
        <v>0</v>
      </c>
      <c r="G624" t="b">
        <v>1</v>
      </c>
      <c r="H624">
        <v>8.1</v>
      </c>
      <c r="I624" t="s">
        <v>159</v>
      </c>
      <c r="J624">
        <v>5.33</v>
      </c>
      <c r="K624">
        <v>8.02</v>
      </c>
      <c r="L624">
        <v>12.8</v>
      </c>
      <c r="M624">
        <v>20.399999999999999</v>
      </c>
      <c r="N624">
        <v>31.9</v>
      </c>
      <c r="O624">
        <v>5.9999999999999995E-4</v>
      </c>
      <c r="P624">
        <v>97.81</v>
      </c>
      <c r="Q624">
        <v>2.19</v>
      </c>
    </row>
    <row r="625" spans="1:17">
      <c r="A625">
        <v>1099.3</v>
      </c>
      <c r="B625">
        <v>1082.4000000000001</v>
      </c>
      <c r="C625">
        <v>712</v>
      </c>
      <c r="D625">
        <v>656</v>
      </c>
      <c r="E625" t="s">
        <v>66</v>
      </c>
      <c r="F625" t="b">
        <v>0</v>
      </c>
      <c r="G625" t="b">
        <v>0</v>
      </c>
      <c r="H625">
        <v>0.9</v>
      </c>
      <c r="I625" t="s">
        <v>159</v>
      </c>
      <c r="J625">
        <v>5.33</v>
      </c>
      <c r="K625">
        <v>8.02</v>
      </c>
      <c r="L625">
        <v>12.8</v>
      </c>
      <c r="M625">
        <v>20.399999999999999</v>
      </c>
      <c r="N625">
        <v>31.9</v>
      </c>
      <c r="O625">
        <v>5.9999999999999995E-4</v>
      </c>
      <c r="P625">
        <v>97.81</v>
      </c>
      <c r="Q625">
        <v>2.19</v>
      </c>
    </row>
    <row r="626" spans="1:17">
      <c r="A626">
        <v>1100.5999999999999</v>
      </c>
      <c r="B626">
        <v>1083.7</v>
      </c>
      <c r="C626">
        <v>713</v>
      </c>
      <c r="D626">
        <v>657</v>
      </c>
      <c r="E626" t="s">
        <v>66</v>
      </c>
      <c r="F626" t="b">
        <v>0</v>
      </c>
      <c r="G626" t="b">
        <v>0</v>
      </c>
      <c r="H626">
        <v>1.3</v>
      </c>
      <c r="I626" t="s">
        <v>159</v>
      </c>
      <c r="J626">
        <v>5.33</v>
      </c>
      <c r="K626">
        <v>8.02</v>
      </c>
      <c r="L626">
        <v>12.8</v>
      </c>
      <c r="M626">
        <v>20.399999999999999</v>
      </c>
      <c r="N626">
        <v>31.9</v>
      </c>
      <c r="O626">
        <v>5.9999999999999995E-4</v>
      </c>
      <c r="P626">
        <v>97.81</v>
      </c>
      <c r="Q626">
        <v>2.19</v>
      </c>
    </row>
    <row r="627" spans="1:17">
      <c r="A627">
        <v>1101.3</v>
      </c>
      <c r="B627">
        <v>1084.4000000000001</v>
      </c>
      <c r="C627">
        <v>714</v>
      </c>
      <c r="D627">
        <v>658</v>
      </c>
      <c r="E627" t="s">
        <v>66</v>
      </c>
      <c r="F627" t="b">
        <v>0</v>
      </c>
      <c r="G627" t="b">
        <v>0</v>
      </c>
      <c r="H627">
        <v>0.7</v>
      </c>
      <c r="I627" t="s">
        <v>159</v>
      </c>
      <c r="J627">
        <v>5.33</v>
      </c>
      <c r="K627">
        <v>8.02</v>
      </c>
      <c r="L627">
        <v>12.8</v>
      </c>
      <c r="M627">
        <v>20.399999999999999</v>
      </c>
      <c r="N627">
        <v>31.9</v>
      </c>
      <c r="O627">
        <v>5.9999999999999995E-4</v>
      </c>
      <c r="P627">
        <v>97.81</v>
      </c>
      <c r="Q627">
        <v>2.19</v>
      </c>
    </row>
    <row r="628" spans="1:17">
      <c r="A628">
        <v>1102.2</v>
      </c>
      <c r="B628">
        <v>1085.3</v>
      </c>
      <c r="C628">
        <v>714</v>
      </c>
      <c r="D628">
        <v>659</v>
      </c>
      <c r="E628" t="s">
        <v>66</v>
      </c>
      <c r="F628" t="b">
        <v>0</v>
      </c>
      <c r="G628" t="b">
        <v>0</v>
      </c>
      <c r="H628">
        <v>0.9</v>
      </c>
      <c r="I628" t="s">
        <v>159</v>
      </c>
      <c r="J628">
        <v>5.33</v>
      </c>
      <c r="K628">
        <v>8.02</v>
      </c>
      <c r="L628">
        <v>12.8</v>
      </c>
      <c r="M628">
        <v>20.399999999999999</v>
      </c>
      <c r="N628">
        <v>31.9</v>
      </c>
      <c r="O628">
        <v>5.9999999999999995E-4</v>
      </c>
      <c r="P628">
        <v>97.81</v>
      </c>
      <c r="Q628">
        <v>2.19</v>
      </c>
    </row>
    <row r="629" spans="1:17">
      <c r="A629">
        <v>1104.4000000000001</v>
      </c>
      <c r="B629">
        <v>1087.5</v>
      </c>
      <c r="C629">
        <v>716</v>
      </c>
      <c r="D629">
        <v>660</v>
      </c>
      <c r="E629" t="s">
        <v>66</v>
      </c>
      <c r="F629" t="b">
        <v>0</v>
      </c>
      <c r="G629" t="b">
        <v>0</v>
      </c>
      <c r="H629">
        <v>2.2000000000000002</v>
      </c>
      <c r="I629" t="s">
        <v>159</v>
      </c>
      <c r="J629">
        <v>5.33</v>
      </c>
      <c r="K629">
        <v>8.02</v>
      </c>
      <c r="L629">
        <v>12.8</v>
      </c>
      <c r="M629">
        <v>20.399999999999999</v>
      </c>
      <c r="N629">
        <v>31.9</v>
      </c>
      <c r="O629">
        <v>5.9999999999999995E-4</v>
      </c>
      <c r="P629">
        <v>97.81</v>
      </c>
      <c r="Q629">
        <v>2.19</v>
      </c>
    </row>
    <row r="630" spans="1:17">
      <c r="A630">
        <v>1105</v>
      </c>
      <c r="B630">
        <v>1088.0999999999999</v>
      </c>
      <c r="C630">
        <v>716</v>
      </c>
      <c r="D630">
        <v>661</v>
      </c>
      <c r="E630" t="s">
        <v>66</v>
      </c>
      <c r="F630" t="b">
        <v>0</v>
      </c>
      <c r="G630" t="b">
        <v>0</v>
      </c>
      <c r="H630">
        <v>0.6</v>
      </c>
      <c r="I630" t="s">
        <v>159</v>
      </c>
      <c r="J630">
        <v>5.33</v>
      </c>
      <c r="K630">
        <v>8.02</v>
      </c>
      <c r="L630">
        <v>12.8</v>
      </c>
      <c r="M630">
        <v>20.399999999999999</v>
      </c>
      <c r="N630">
        <v>31.9</v>
      </c>
      <c r="O630">
        <v>5.9999999999999995E-4</v>
      </c>
      <c r="P630">
        <v>97.81</v>
      </c>
      <c r="Q630">
        <v>2.19</v>
      </c>
    </row>
    <row r="631" spans="1:17">
      <c r="A631">
        <v>1106.7</v>
      </c>
      <c r="B631">
        <v>1089.8</v>
      </c>
      <c r="C631">
        <v>718</v>
      </c>
      <c r="D631">
        <v>662</v>
      </c>
      <c r="E631" t="s">
        <v>66</v>
      </c>
      <c r="F631" t="b">
        <v>0</v>
      </c>
      <c r="G631" t="b">
        <v>0</v>
      </c>
      <c r="H631">
        <v>1.7</v>
      </c>
      <c r="I631" t="s">
        <v>159</v>
      </c>
      <c r="J631" t="s">
        <v>159</v>
      </c>
      <c r="K631" t="s">
        <v>159</v>
      </c>
      <c r="L631" t="s">
        <v>159</v>
      </c>
      <c r="M631" t="s">
        <v>159</v>
      </c>
      <c r="N631" t="s">
        <v>159</v>
      </c>
      <c r="O631" t="s">
        <v>159</v>
      </c>
      <c r="P631" t="s">
        <v>159</v>
      </c>
      <c r="Q631" t="s">
        <v>159</v>
      </c>
    </row>
    <row r="632" spans="1:17">
      <c r="A632">
        <v>1107.4000000000001</v>
      </c>
      <c r="B632">
        <v>1090.5</v>
      </c>
      <c r="C632">
        <v>718</v>
      </c>
      <c r="D632">
        <v>663</v>
      </c>
      <c r="E632" t="s">
        <v>66</v>
      </c>
      <c r="F632" t="b">
        <v>0</v>
      </c>
      <c r="G632" t="b">
        <v>0</v>
      </c>
      <c r="H632">
        <v>0.7</v>
      </c>
      <c r="I632" t="s">
        <v>159</v>
      </c>
      <c r="J632" t="s">
        <v>159</v>
      </c>
      <c r="K632" t="s">
        <v>159</v>
      </c>
      <c r="L632" t="s">
        <v>159</v>
      </c>
      <c r="M632" t="s">
        <v>159</v>
      </c>
      <c r="N632" t="s">
        <v>159</v>
      </c>
      <c r="O632" t="s">
        <v>159</v>
      </c>
      <c r="P632" t="s">
        <v>159</v>
      </c>
      <c r="Q632" t="s">
        <v>159</v>
      </c>
    </row>
    <row r="633" spans="1:17">
      <c r="A633">
        <v>1108</v>
      </c>
      <c r="B633">
        <v>1091.0999999999999</v>
      </c>
      <c r="C633">
        <v>718</v>
      </c>
      <c r="D633">
        <v>664</v>
      </c>
      <c r="E633" t="s">
        <v>66</v>
      </c>
      <c r="F633" t="b">
        <v>0</v>
      </c>
      <c r="G633" t="b">
        <v>0</v>
      </c>
      <c r="H633">
        <v>0.6</v>
      </c>
      <c r="I633" t="s">
        <v>159</v>
      </c>
      <c r="J633" t="s">
        <v>159</v>
      </c>
      <c r="K633" t="s">
        <v>159</v>
      </c>
      <c r="L633" t="s">
        <v>159</v>
      </c>
      <c r="M633" t="s">
        <v>159</v>
      </c>
      <c r="N633" t="s">
        <v>159</v>
      </c>
      <c r="O633" t="s">
        <v>159</v>
      </c>
      <c r="P633" t="s">
        <v>159</v>
      </c>
      <c r="Q633" t="s">
        <v>159</v>
      </c>
    </row>
    <row r="634" spans="1:17">
      <c r="A634">
        <v>1109</v>
      </c>
      <c r="B634">
        <v>1092.0999999999999</v>
      </c>
      <c r="C634">
        <v>719</v>
      </c>
      <c r="D634">
        <v>665</v>
      </c>
      <c r="E634" t="s">
        <v>66</v>
      </c>
      <c r="F634" t="b">
        <v>0</v>
      </c>
      <c r="G634" t="b">
        <v>0</v>
      </c>
      <c r="H634">
        <v>1</v>
      </c>
      <c r="I634" t="s">
        <v>159</v>
      </c>
      <c r="J634" t="s">
        <v>159</v>
      </c>
      <c r="K634" t="s">
        <v>159</v>
      </c>
      <c r="L634" t="s">
        <v>159</v>
      </c>
      <c r="M634" t="s">
        <v>159</v>
      </c>
      <c r="N634" t="s">
        <v>159</v>
      </c>
      <c r="O634" t="s">
        <v>159</v>
      </c>
      <c r="P634" t="s">
        <v>159</v>
      </c>
      <c r="Q634" t="s">
        <v>159</v>
      </c>
    </row>
    <row r="635" spans="1:17">
      <c r="A635">
        <v>1109.7</v>
      </c>
      <c r="B635">
        <v>1092.8</v>
      </c>
      <c r="C635">
        <v>720</v>
      </c>
      <c r="D635">
        <v>666</v>
      </c>
      <c r="E635" t="s">
        <v>66</v>
      </c>
      <c r="F635" t="b">
        <v>0</v>
      </c>
      <c r="G635" t="b">
        <v>0</v>
      </c>
      <c r="H635">
        <v>0.8</v>
      </c>
      <c r="I635">
        <v>3.9159999999999999</v>
      </c>
      <c r="J635" t="s">
        <v>159</v>
      </c>
      <c r="K635" t="s">
        <v>159</v>
      </c>
      <c r="L635" t="s">
        <v>159</v>
      </c>
      <c r="M635" t="s">
        <v>159</v>
      </c>
      <c r="N635" t="s">
        <v>159</v>
      </c>
      <c r="O635" t="s">
        <v>159</v>
      </c>
      <c r="P635" t="s">
        <v>159</v>
      </c>
      <c r="Q635" t="s">
        <v>159</v>
      </c>
    </row>
    <row r="636" spans="1:17">
      <c r="A636">
        <v>1110.8</v>
      </c>
      <c r="B636">
        <v>1093.9000000000001</v>
      </c>
      <c r="C636">
        <v>720</v>
      </c>
      <c r="D636">
        <v>667</v>
      </c>
      <c r="E636" t="s">
        <v>66</v>
      </c>
      <c r="F636" t="b">
        <v>0</v>
      </c>
      <c r="G636" t="b">
        <v>0</v>
      </c>
      <c r="H636">
        <v>1</v>
      </c>
      <c r="I636">
        <v>3.9159999999999999</v>
      </c>
      <c r="J636" t="s">
        <v>159</v>
      </c>
      <c r="K636" t="s">
        <v>159</v>
      </c>
      <c r="L636" t="s">
        <v>159</v>
      </c>
      <c r="M636" t="s">
        <v>159</v>
      </c>
      <c r="N636" t="s">
        <v>159</v>
      </c>
      <c r="O636" t="s">
        <v>159</v>
      </c>
      <c r="P636" t="s">
        <v>159</v>
      </c>
      <c r="Q636" t="s">
        <v>159</v>
      </c>
    </row>
    <row r="637" spans="1:17">
      <c r="A637">
        <v>1111.5</v>
      </c>
      <c r="B637">
        <v>1094.7</v>
      </c>
      <c r="C637">
        <v>721</v>
      </c>
      <c r="D637">
        <v>668</v>
      </c>
      <c r="E637" t="s">
        <v>66</v>
      </c>
      <c r="F637" t="b">
        <v>0</v>
      </c>
      <c r="G637" t="b">
        <v>0</v>
      </c>
      <c r="H637">
        <v>0.8</v>
      </c>
      <c r="I637">
        <v>3.9159999999999999</v>
      </c>
      <c r="J637" t="s">
        <v>159</v>
      </c>
      <c r="K637" t="s">
        <v>159</v>
      </c>
      <c r="L637" t="s">
        <v>159</v>
      </c>
      <c r="M637" t="s">
        <v>159</v>
      </c>
      <c r="N637" t="s">
        <v>159</v>
      </c>
      <c r="O637" t="s">
        <v>159</v>
      </c>
      <c r="P637" t="s">
        <v>159</v>
      </c>
      <c r="Q637" t="s">
        <v>159</v>
      </c>
    </row>
    <row r="638" spans="1:17">
      <c r="A638">
        <v>1112.7</v>
      </c>
      <c r="B638">
        <v>1095.8</v>
      </c>
      <c r="C638">
        <v>722</v>
      </c>
      <c r="D638">
        <v>669</v>
      </c>
      <c r="E638" t="s">
        <v>66</v>
      </c>
      <c r="F638" t="b">
        <v>0</v>
      </c>
      <c r="G638" t="b">
        <v>0</v>
      </c>
      <c r="H638">
        <v>1.2</v>
      </c>
      <c r="I638">
        <v>3.9159999999999999</v>
      </c>
      <c r="J638" t="s">
        <v>159</v>
      </c>
      <c r="K638" t="s">
        <v>159</v>
      </c>
      <c r="L638" t="s">
        <v>159</v>
      </c>
      <c r="M638" t="s">
        <v>159</v>
      </c>
      <c r="N638" t="s">
        <v>159</v>
      </c>
      <c r="O638" t="s">
        <v>159</v>
      </c>
      <c r="P638" t="s">
        <v>159</v>
      </c>
      <c r="Q638" t="s">
        <v>159</v>
      </c>
    </row>
    <row r="639" spans="1:17">
      <c r="A639">
        <v>1113.9000000000001</v>
      </c>
      <c r="B639">
        <v>1097</v>
      </c>
      <c r="C639">
        <v>723</v>
      </c>
      <c r="D639">
        <v>670</v>
      </c>
      <c r="E639" t="s">
        <v>66</v>
      </c>
      <c r="F639" t="b">
        <v>0</v>
      </c>
      <c r="G639" t="b">
        <v>0</v>
      </c>
      <c r="H639">
        <v>1.2</v>
      </c>
      <c r="I639">
        <v>3.9159999999999999</v>
      </c>
      <c r="J639" t="s">
        <v>159</v>
      </c>
      <c r="K639" t="s">
        <v>159</v>
      </c>
      <c r="L639" t="s">
        <v>159</v>
      </c>
      <c r="M639" t="s">
        <v>159</v>
      </c>
      <c r="N639" t="s">
        <v>159</v>
      </c>
      <c r="O639" t="s">
        <v>159</v>
      </c>
      <c r="P639" t="s">
        <v>159</v>
      </c>
      <c r="Q639" t="s">
        <v>159</v>
      </c>
    </row>
    <row r="640" spans="1:17">
      <c r="A640">
        <v>1114.8</v>
      </c>
      <c r="B640">
        <v>1097.9000000000001</v>
      </c>
      <c r="C640">
        <v>723</v>
      </c>
      <c r="D640">
        <v>671</v>
      </c>
      <c r="E640" t="s">
        <v>66</v>
      </c>
      <c r="F640" t="b">
        <v>0</v>
      </c>
      <c r="G640" t="b">
        <v>0</v>
      </c>
      <c r="H640">
        <v>0.9</v>
      </c>
      <c r="I640">
        <v>3.9159999999999999</v>
      </c>
      <c r="J640" t="s">
        <v>159</v>
      </c>
      <c r="K640" t="s">
        <v>159</v>
      </c>
      <c r="L640" t="s">
        <v>159</v>
      </c>
      <c r="M640" t="s">
        <v>159</v>
      </c>
      <c r="N640" t="s">
        <v>159</v>
      </c>
      <c r="O640" t="s">
        <v>159</v>
      </c>
      <c r="P640" t="s">
        <v>159</v>
      </c>
      <c r="Q640" t="s">
        <v>159</v>
      </c>
    </row>
    <row r="641" spans="1:17">
      <c r="A641">
        <v>1116.0999999999999</v>
      </c>
      <c r="B641">
        <v>1099.2</v>
      </c>
      <c r="C641">
        <v>724</v>
      </c>
      <c r="D641">
        <v>672</v>
      </c>
      <c r="E641" t="s">
        <v>66</v>
      </c>
      <c r="F641" t="b">
        <v>0</v>
      </c>
      <c r="G641" t="b">
        <v>0</v>
      </c>
      <c r="H641">
        <v>1.3</v>
      </c>
      <c r="I641">
        <v>3.9159999999999999</v>
      </c>
      <c r="J641" t="s">
        <v>159</v>
      </c>
      <c r="K641" t="s">
        <v>159</v>
      </c>
      <c r="L641" t="s">
        <v>159</v>
      </c>
      <c r="M641" t="s">
        <v>159</v>
      </c>
      <c r="N641" t="s">
        <v>159</v>
      </c>
      <c r="O641" t="s">
        <v>159</v>
      </c>
      <c r="P641" t="s">
        <v>159</v>
      </c>
      <c r="Q641" t="s">
        <v>159</v>
      </c>
    </row>
    <row r="642" spans="1:17">
      <c r="A642">
        <v>1120.5</v>
      </c>
      <c r="B642">
        <v>1099.2</v>
      </c>
      <c r="C642">
        <v>724</v>
      </c>
      <c r="D642">
        <v>672</v>
      </c>
      <c r="E642" t="s">
        <v>66</v>
      </c>
      <c r="F642" t="b">
        <v>1</v>
      </c>
      <c r="G642" t="b">
        <v>0</v>
      </c>
      <c r="H642">
        <v>4.5</v>
      </c>
      <c r="I642">
        <v>3.9159999999999999</v>
      </c>
      <c r="J642" t="s">
        <v>159</v>
      </c>
      <c r="K642" t="s">
        <v>159</v>
      </c>
      <c r="L642" t="s">
        <v>159</v>
      </c>
      <c r="M642" t="s">
        <v>159</v>
      </c>
      <c r="N642" t="s">
        <v>159</v>
      </c>
      <c r="O642" t="s">
        <v>159</v>
      </c>
      <c r="P642" t="s">
        <v>159</v>
      </c>
      <c r="Q642" t="s">
        <v>159</v>
      </c>
    </row>
    <row r="643" spans="1:17">
      <c r="A643">
        <v>1121.8</v>
      </c>
      <c r="B643">
        <v>1100.4000000000001</v>
      </c>
      <c r="C643">
        <v>725</v>
      </c>
      <c r="D643">
        <v>673</v>
      </c>
      <c r="E643" t="s">
        <v>66</v>
      </c>
      <c r="F643" t="b">
        <v>0</v>
      </c>
      <c r="G643" t="b">
        <v>0</v>
      </c>
      <c r="H643">
        <v>1.2</v>
      </c>
      <c r="I643">
        <v>3.9159999999999999</v>
      </c>
      <c r="J643" t="s">
        <v>159</v>
      </c>
      <c r="K643" t="s">
        <v>159</v>
      </c>
      <c r="L643" t="s">
        <v>159</v>
      </c>
      <c r="M643" t="s">
        <v>159</v>
      </c>
      <c r="N643" t="s">
        <v>159</v>
      </c>
      <c r="O643" t="s">
        <v>159</v>
      </c>
      <c r="P643" t="s">
        <v>159</v>
      </c>
      <c r="Q643" t="s">
        <v>159</v>
      </c>
    </row>
    <row r="644" spans="1:17">
      <c r="A644">
        <v>1122.9000000000001</v>
      </c>
      <c r="B644">
        <v>1101.5</v>
      </c>
      <c r="C644">
        <v>726</v>
      </c>
      <c r="D644">
        <v>674</v>
      </c>
      <c r="E644" t="s">
        <v>66</v>
      </c>
      <c r="F644" t="b">
        <v>0</v>
      </c>
      <c r="G644" t="b">
        <v>0</v>
      </c>
      <c r="H644">
        <v>1.2</v>
      </c>
      <c r="I644">
        <v>3.9159999999999999</v>
      </c>
      <c r="J644" t="s">
        <v>159</v>
      </c>
      <c r="K644" t="s">
        <v>159</v>
      </c>
      <c r="L644" t="s">
        <v>159</v>
      </c>
      <c r="M644" t="s">
        <v>159</v>
      </c>
      <c r="N644" t="s">
        <v>159</v>
      </c>
      <c r="O644" t="s">
        <v>159</v>
      </c>
      <c r="P644" t="s">
        <v>159</v>
      </c>
      <c r="Q644" t="s">
        <v>159</v>
      </c>
    </row>
    <row r="645" spans="1:17">
      <c r="A645">
        <v>1124.0999999999999</v>
      </c>
      <c r="B645">
        <v>1102.7</v>
      </c>
      <c r="C645">
        <v>727</v>
      </c>
      <c r="D645">
        <v>675</v>
      </c>
      <c r="E645" t="s">
        <v>66</v>
      </c>
      <c r="F645" t="b">
        <v>0</v>
      </c>
      <c r="G645" t="b">
        <v>0</v>
      </c>
      <c r="H645">
        <v>1.2</v>
      </c>
      <c r="I645">
        <v>3.9159999999999999</v>
      </c>
      <c r="J645" t="s">
        <v>159</v>
      </c>
      <c r="K645" t="s">
        <v>159</v>
      </c>
      <c r="L645" t="s">
        <v>159</v>
      </c>
      <c r="M645" t="s">
        <v>159</v>
      </c>
      <c r="N645" t="s">
        <v>159</v>
      </c>
      <c r="O645" t="s">
        <v>159</v>
      </c>
      <c r="P645" t="s">
        <v>159</v>
      </c>
      <c r="Q645" t="s">
        <v>159</v>
      </c>
    </row>
    <row r="646" spans="1:17">
      <c r="A646">
        <v>1125.0999999999999</v>
      </c>
      <c r="B646">
        <v>1103.7</v>
      </c>
      <c r="C646">
        <v>728</v>
      </c>
      <c r="D646">
        <v>676</v>
      </c>
      <c r="E646" t="s">
        <v>66</v>
      </c>
      <c r="F646" t="b">
        <v>0</v>
      </c>
      <c r="G646" t="b">
        <v>0</v>
      </c>
      <c r="H646">
        <v>1</v>
      </c>
      <c r="I646">
        <v>3.9159999999999999</v>
      </c>
      <c r="J646" t="s">
        <v>159</v>
      </c>
      <c r="K646" t="s">
        <v>159</v>
      </c>
      <c r="L646" t="s">
        <v>159</v>
      </c>
      <c r="M646" t="s">
        <v>159</v>
      </c>
      <c r="N646" t="s">
        <v>159</v>
      </c>
      <c r="O646" t="s">
        <v>159</v>
      </c>
      <c r="P646" t="s">
        <v>159</v>
      </c>
      <c r="Q646" t="s">
        <v>159</v>
      </c>
    </row>
    <row r="647" spans="1:17">
      <c r="A647">
        <v>1125.9000000000001</v>
      </c>
      <c r="B647">
        <v>1104.5999999999999</v>
      </c>
      <c r="C647">
        <v>728</v>
      </c>
      <c r="D647">
        <v>677</v>
      </c>
      <c r="E647" t="s">
        <v>66</v>
      </c>
      <c r="F647" t="b">
        <v>0</v>
      </c>
      <c r="G647" t="b">
        <v>0</v>
      </c>
      <c r="H647">
        <v>0.9</v>
      </c>
      <c r="I647">
        <v>3.9159999999999999</v>
      </c>
      <c r="J647" t="s">
        <v>159</v>
      </c>
      <c r="K647" t="s">
        <v>159</v>
      </c>
      <c r="L647" t="s">
        <v>159</v>
      </c>
      <c r="M647" t="s">
        <v>159</v>
      </c>
      <c r="N647" t="s">
        <v>159</v>
      </c>
      <c r="O647" t="s">
        <v>159</v>
      </c>
      <c r="P647" t="s">
        <v>159</v>
      </c>
      <c r="Q647" t="s">
        <v>159</v>
      </c>
    </row>
    <row r="648" spans="1:17">
      <c r="A648">
        <v>1126.9000000000001</v>
      </c>
      <c r="B648">
        <v>1105.5999999999999</v>
      </c>
      <c r="C648">
        <v>729</v>
      </c>
      <c r="D648">
        <v>678</v>
      </c>
      <c r="E648" t="s">
        <v>66</v>
      </c>
      <c r="F648" t="b">
        <v>0</v>
      </c>
      <c r="G648" t="b">
        <v>0</v>
      </c>
      <c r="H648">
        <v>1</v>
      </c>
      <c r="I648">
        <v>3.9159999999999999</v>
      </c>
      <c r="J648" t="s">
        <v>159</v>
      </c>
      <c r="K648" t="s">
        <v>159</v>
      </c>
      <c r="L648" t="s">
        <v>159</v>
      </c>
      <c r="M648" t="s">
        <v>159</v>
      </c>
      <c r="N648" t="s">
        <v>159</v>
      </c>
      <c r="O648" t="s">
        <v>159</v>
      </c>
      <c r="P648" t="s">
        <v>159</v>
      </c>
      <c r="Q648" t="s">
        <v>159</v>
      </c>
    </row>
    <row r="649" spans="1:17">
      <c r="A649">
        <v>1128.2</v>
      </c>
      <c r="B649">
        <v>1106.8</v>
      </c>
      <c r="C649">
        <v>730</v>
      </c>
      <c r="D649">
        <v>679</v>
      </c>
      <c r="E649" t="s">
        <v>66</v>
      </c>
      <c r="F649" t="b">
        <v>0</v>
      </c>
      <c r="G649" t="b">
        <v>0</v>
      </c>
      <c r="H649">
        <v>1.2</v>
      </c>
      <c r="I649">
        <v>3.9159999999999999</v>
      </c>
      <c r="J649" t="s">
        <v>159</v>
      </c>
      <c r="K649" t="s">
        <v>159</v>
      </c>
      <c r="L649" t="s">
        <v>159</v>
      </c>
      <c r="M649" t="s">
        <v>159</v>
      </c>
      <c r="N649" t="s">
        <v>159</v>
      </c>
      <c r="O649" t="s">
        <v>159</v>
      </c>
      <c r="P649" t="s">
        <v>159</v>
      </c>
      <c r="Q649" t="s">
        <v>159</v>
      </c>
    </row>
    <row r="650" spans="1:17">
      <c r="A650">
        <v>1130</v>
      </c>
      <c r="B650">
        <v>1108.7</v>
      </c>
      <c r="C650">
        <v>731</v>
      </c>
      <c r="D650">
        <v>680</v>
      </c>
      <c r="E650" t="s">
        <v>66</v>
      </c>
      <c r="F650" t="b">
        <v>0</v>
      </c>
      <c r="G650" t="b">
        <v>0</v>
      </c>
      <c r="H650">
        <v>1.9</v>
      </c>
      <c r="I650">
        <v>3.9159999999999999</v>
      </c>
      <c r="J650" t="s">
        <v>159</v>
      </c>
      <c r="K650" t="s">
        <v>159</v>
      </c>
      <c r="L650" t="s">
        <v>159</v>
      </c>
      <c r="M650" t="s">
        <v>159</v>
      </c>
      <c r="N650" t="s">
        <v>159</v>
      </c>
      <c r="O650" t="s">
        <v>159</v>
      </c>
      <c r="P650" t="s">
        <v>159</v>
      </c>
      <c r="Q650" t="s">
        <v>159</v>
      </c>
    </row>
    <row r="651" spans="1:17">
      <c r="A651">
        <v>1131.5</v>
      </c>
      <c r="B651">
        <v>1110.0999999999999</v>
      </c>
      <c r="C651">
        <v>732</v>
      </c>
      <c r="D651">
        <v>681</v>
      </c>
      <c r="E651" t="s">
        <v>66</v>
      </c>
      <c r="F651" t="b">
        <v>0</v>
      </c>
      <c r="G651" t="b">
        <v>0</v>
      </c>
      <c r="H651">
        <v>1.5</v>
      </c>
      <c r="I651" t="s">
        <v>159</v>
      </c>
      <c r="J651" t="s">
        <v>159</v>
      </c>
      <c r="K651" t="s">
        <v>159</v>
      </c>
      <c r="L651" t="s">
        <v>159</v>
      </c>
      <c r="M651" t="s">
        <v>159</v>
      </c>
      <c r="N651" t="s">
        <v>159</v>
      </c>
      <c r="O651" t="s">
        <v>159</v>
      </c>
      <c r="P651" t="s">
        <v>159</v>
      </c>
      <c r="Q651" t="s">
        <v>159</v>
      </c>
    </row>
    <row r="652" spans="1:17">
      <c r="A652">
        <v>1132.7</v>
      </c>
      <c r="B652">
        <v>1111.3</v>
      </c>
      <c r="C652">
        <v>733</v>
      </c>
      <c r="D652">
        <v>682</v>
      </c>
      <c r="E652" t="s">
        <v>66</v>
      </c>
      <c r="F652" t="b">
        <v>0</v>
      </c>
      <c r="G652" t="b">
        <v>0</v>
      </c>
      <c r="H652">
        <v>1.2</v>
      </c>
      <c r="I652" t="s">
        <v>159</v>
      </c>
      <c r="J652" t="s">
        <v>159</v>
      </c>
      <c r="K652" t="s">
        <v>159</v>
      </c>
      <c r="L652" t="s">
        <v>159</v>
      </c>
      <c r="M652" t="s">
        <v>159</v>
      </c>
      <c r="N652" t="s">
        <v>159</v>
      </c>
      <c r="O652" t="s">
        <v>159</v>
      </c>
      <c r="P652" t="s">
        <v>159</v>
      </c>
      <c r="Q652" t="s">
        <v>159</v>
      </c>
    </row>
    <row r="653" spans="1:17">
      <c r="A653">
        <v>1133.4000000000001</v>
      </c>
      <c r="B653">
        <v>1112</v>
      </c>
      <c r="C653">
        <v>733</v>
      </c>
      <c r="D653">
        <v>683</v>
      </c>
      <c r="E653" t="s">
        <v>66</v>
      </c>
      <c r="F653" t="b">
        <v>0</v>
      </c>
      <c r="G653" t="b">
        <v>0</v>
      </c>
      <c r="H653">
        <v>0.7</v>
      </c>
      <c r="I653" t="s">
        <v>159</v>
      </c>
      <c r="J653" t="s">
        <v>159</v>
      </c>
      <c r="K653" t="s">
        <v>159</v>
      </c>
      <c r="L653" t="s">
        <v>159</v>
      </c>
      <c r="M653" t="s">
        <v>159</v>
      </c>
      <c r="N653" t="s">
        <v>159</v>
      </c>
      <c r="O653" t="s">
        <v>159</v>
      </c>
      <c r="P653" t="s">
        <v>159</v>
      </c>
      <c r="Q653" t="s">
        <v>159</v>
      </c>
    </row>
    <row r="654" spans="1:17">
      <c r="A654">
        <v>1134.2</v>
      </c>
      <c r="B654">
        <v>1112.8</v>
      </c>
      <c r="C654">
        <v>734</v>
      </c>
      <c r="D654">
        <v>684</v>
      </c>
      <c r="E654" t="s">
        <v>66</v>
      </c>
      <c r="F654" t="b">
        <v>0</v>
      </c>
      <c r="G654" t="b">
        <v>0</v>
      </c>
      <c r="H654">
        <v>0.8</v>
      </c>
      <c r="I654" t="s">
        <v>159</v>
      </c>
      <c r="J654" t="s">
        <v>159</v>
      </c>
      <c r="K654" t="s">
        <v>159</v>
      </c>
      <c r="L654" t="s">
        <v>159</v>
      </c>
      <c r="M654" t="s">
        <v>159</v>
      </c>
      <c r="N654" t="s">
        <v>159</v>
      </c>
      <c r="O654" t="s">
        <v>159</v>
      </c>
      <c r="P654" t="s">
        <v>159</v>
      </c>
      <c r="Q654" t="s">
        <v>159</v>
      </c>
    </row>
    <row r="655" spans="1:17">
      <c r="A655">
        <v>1135.5</v>
      </c>
      <c r="B655">
        <v>1114.2</v>
      </c>
      <c r="C655">
        <v>735</v>
      </c>
      <c r="D655">
        <v>685</v>
      </c>
      <c r="E655" t="s">
        <v>66</v>
      </c>
      <c r="F655" t="b">
        <v>0</v>
      </c>
      <c r="G655" t="b">
        <v>0</v>
      </c>
      <c r="H655">
        <v>1.4</v>
      </c>
      <c r="I655" t="s">
        <v>159</v>
      </c>
      <c r="J655" t="s">
        <v>159</v>
      </c>
      <c r="K655" t="s">
        <v>159</v>
      </c>
      <c r="L655" t="s">
        <v>159</v>
      </c>
      <c r="M655" t="s">
        <v>159</v>
      </c>
      <c r="N655" t="s">
        <v>159</v>
      </c>
      <c r="O655" t="s">
        <v>159</v>
      </c>
      <c r="P655" t="s">
        <v>159</v>
      </c>
      <c r="Q655" t="s">
        <v>159</v>
      </c>
    </row>
    <row r="656" spans="1:17">
      <c r="A656">
        <v>1136.7</v>
      </c>
      <c r="B656">
        <v>1115.3</v>
      </c>
      <c r="C656">
        <v>736</v>
      </c>
      <c r="D656">
        <v>686</v>
      </c>
      <c r="E656" t="s">
        <v>66</v>
      </c>
      <c r="F656" t="b">
        <v>0</v>
      </c>
      <c r="G656" t="b">
        <v>0</v>
      </c>
      <c r="H656">
        <v>1.1000000000000001</v>
      </c>
      <c r="I656" t="s">
        <v>159</v>
      </c>
      <c r="J656" t="s">
        <v>159</v>
      </c>
      <c r="K656" t="s">
        <v>159</v>
      </c>
      <c r="L656" t="s">
        <v>159</v>
      </c>
      <c r="M656" t="s">
        <v>159</v>
      </c>
      <c r="N656" t="s">
        <v>159</v>
      </c>
      <c r="O656" t="s">
        <v>159</v>
      </c>
      <c r="P656" t="s">
        <v>159</v>
      </c>
      <c r="Q656" t="s">
        <v>159</v>
      </c>
    </row>
    <row r="657" spans="1:17">
      <c r="A657">
        <v>1139.7</v>
      </c>
      <c r="B657">
        <v>1118.4000000000001</v>
      </c>
      <c r="C657">
        <v>738</v>
      </c>
      <c r="D657">
        <v>687</v>
      </c>
      <c r="E657" t="s">
        <v>66</v>
      </c>
      <c r="F657" t="b">
        <v>0</v>
      </c>
      <c r="G657" t="b">
        <v>0</v>
      </c>
      <c r="H657">
        <v>3</v>
      </c>
      <c r="I657" t="s">
        <v>159</v>
      </c>
      <c r="J657" t="s">
        <v>159</v>
      </c>
      <c r="K657" t="s">
        <v>159</v>
      </c>
      <c r="L657" t="s">
        <v>159</v>
      </c>
      <c r="M657" t="s">
        <v>159</v>
      </c>
      <c r="N657" t="s">
        <v>159</v>
      </c>
      <c r="O657" t="s">
        <v>159</v>
      </c>
      <c r="P657" t="s">
        <v>159</v>
      </c>
      <c r="Q657" t="s">
        <v>159</v>
      </c>
    </row>
    <row r="658" spans="1:17">
      <c r="A658">
        <v>1140.4000000000001</v>
      </c>
      <c r="B658">
        <v>1119</v>
      </c>
      <c r="C658">
        <v>739</v>
      </c>
      <c r="D658">
        <v>688</v>
      </c>
      <c r="E658" t="s">
        <v>66</v>
      </c>
      <c r="F658" t="b">
        <v>0</v>
      </c>
      <c r="G658" t="b">
        <v>0</v>
      </c>
      <c r="H658">
        <v>0.7</v>
      </c>
      <c r="I658" t="s">
        <v>159</v>
      </c>
      <c r="J658" t="s">
        <v>159</v>
      </c>
      <c r="K658" t="s">
        <v>159</v>
      </c>
      <c r="L658" t="s">
        <v>159</v>
      </c>
      <c r="M658" t="s">
        <v>159</v>
      </c>
      <c r="N658" t="s">
        <v>159</v>
      </c>
      <c r="O658" t="s">
        <v>159</v>
      </c>
      <c r="P658" t="s">
        <v>159</v>
      </c>
      <c r="Q658" t="s">
        <v>159</v>
      </c>
    </row>
    <row r="659" spans="1:17">
      <c r="A659">
        <v>1140.8</v>
      </c>
      <c r="B659">
        <v>1119.4000000000001</v>
      </c>
      <c r="C659">
        <v>739</v>
      </c>
      <c r="D659">
        <v>689</v>
      </c>
      <c r="E659" t="s">
        <v>66</v>
      </c>
      <c r="F659" t="b">
        <v>0</v>
      </c>
      <c r="G659" t="b">
        <v>0</v>
      </c>
      <c r="H659">
        <v>0.4</v>
      </c>
      <c r="I659" t="s">
        <v>159</v>
      </c>
      <c r="J659" t="s">
        <v>159</v>
      </c>
      <c r="K659" t="s">
        <v>159</v>
      </c>
      <c r="L659" t="s">
        <v>159</v>
      </c>
      <c r="M659" t="s">
        <v>159</v>
      </c>
      <c r="N659" t="s">
        <v>159</v>
      </c>
      <c r="O659" t="s">
        <v>159</v>
      </c>
      <c r="P659" t="s">
        <v>159</v>
      </c>
      <c r="Q659" t="s">
        <v>159</v>
      </c>
    </row>
    <row r="660" spans="1:17">
      <c r="A660">
        <v>1141.2</v>
      </c>
      <c r="B660">
        <v>1119.8</v>
      </c>
      <c r="C660">
        <v>739</v>
      </c>
      <c r="D660">
        <v>690</v>
      </c>
      <c r="E660" t="s">
        <v>66</v>
      </c>
      <c r="F660" t="b">
        <v>0</v>
      </c>
      <c r="G660" t="b">
        <v>0</v>
      </c>
      <c r="H660">
        <v>0.4</v>
      </c>
      <c r="I660" t="s">
        <v>159</v>
      </c>
      <c r="J660" t="s">
        <v>159</v>
      </c>
      <c r="K660" t="s">
        <v>159</v>
      </c>
      <c r="L660" t="s">
        <v>159</v>
      </c>
      <c r="M660" t="s">
        <v>159</v>
      </c>
      <c r="N660" t="s">
        <v>159</v>
      </c>
      <c r="O660" t="s">
        <v>159</v>
      </c>
      <c r="P660" t="s">
        <v>159</v>
      </c>
      <c r="Q660" t="s">
        <v>159</v>
      </c>
    </row>
    <row r="661" spans="1:17">
      <c r="A661">
        <v>1141.8</v>
      </c>
      <c r="B661">
        <v>1120.4000000000001</v>
      </c>
      <c r="C661">
        <v>740</v>
      </c>
      <c r="D661">
        <v>691</v>
      </c>
      <c r="E661" t="s">
        <v>66</v>
      </c>
      <c r="F661" t="b">
        <v>0</v>
      </c>
      <c r="G661" t="b">
        <v>0</v>
      </c>
      <c r="H661">
        <v>0.5</v>
      </c>
      <c r="I661" t="s">
        <v>159</v>
      </c>
      <c r="J661" t="s">
        <v>159</v>
      </c>
      <c r="K661" t="s">
        <v>159</v>
      </c>
      <c r="L661" t="s">
        <v>159</v>
      </c>
      <c r="M661" t="s">
        <v>159</v>
      </c>
      <c r="N661" t="s">
        <v>159</v>
      </c>
      <c r="O661" t="s">
        <v>159</v>
      </c>
      <c r="P661" t="s">
        <v>159</v>
      </c>
      <c r="Q661" t="s">
        <v>159</v>
      </c>
    </row>
    <row r="662" spans="1:17">
      <c r="A662">
        <v>1146.2</v>
      </c>
      <c r="B662">
        <v>1124.9000000000001</v>
      </c>
      <c r="C662">
        <v>743</v>
      </c>
      <c r="D662">
        <v>695</v>
      </c>
      <c r="E662" t="s">
        <v>66</v>
      </c>
      <c r="F662" t="b">
        <v>0</v>
      </c>
      <c r="G662" t="b">
        <v>1</v>
      </c>
      <c r="H662">
        <v>4.5</v>
      </c>
      <c r="I662" t="s">
        <v>159</v>
      </c>
      <c r="J662">
        <v>0.79600000000000004</v>
      </c>
      <c r="K662">
        <v>3.05</v>
      </c>
      <c r="L662">
        <v>6.43</v>
      </c>
      <c r="M662">
        <v>12.7</v>
      </c>
      <c r="N662">
        <v>21.9</v>
      </c>
      <c r="O662">
        <v>17.93</v>
      </c>
      <c r="P662">
        <v>81.56</v>
      </c>
      <c r="Q662">
        <v>0.51</v>
      </c>
    </row>
    <row r="663" spans="1:17">
      <c r="A663">
        <v>1147.9000000000001</v>
      </c>
      <c r="B663">
        <v>1126.5</v>
      </c>
      <c r="C663">
        <v>744</v>
      </c>
      <c r="D663">
        <v>696</v>
      </c>
      <c r="E663" t="s">
        <v>66</v>
      </c>
      <c r="F663" t="b">
        <v>0</v>
      </c>
      <c r="G663" t="b">
        <v>0</v>
      </c>
      <c r="H663">
        <v>1.7</v>
      </c>
      <c r="I663" t="s">
        <v>159</v>
      </c>
      <c r="J663">
        <v>0.79600000000000004</v>
      </c>
      <c r="K663">
        <v>3.05</v>
      </c>
      <c r="L663">
        <v>6.43</v>
      </c>
      <c r="M663">
        <v>12.7</v>
      </c>
      <c r="N663">
        <v>21.9</v>
      </c>
      <c r="O663">
        <v>17.93</v>
      </c>
      <c r="P663">
        <v>81.56</v>
      </c>
      <c r="Q663">
        <v>0.51</v>
      </c>
    </row>
    <row r="664" spans="1:17">
      <c r="A664">
        <v>1149</v>
      </c>
      <c r="B664">
        <v>1127.7</v>
      </c>
      <c r="C664">
        <v>745</v>
      </c>
      <c r="D664">
        <v>697</v>
      </c>
      <c r="E664" t="s">
        <v>66</v>
      </c>
      <c r="F664" t="b">
        <v>0</v>
      </c>
      <c r="G664" t="b">
        <v>0</v>
      </c>
      <c r="H664">
        <v>1.2</v>
      </c>
      <c r="I664" t="s">
        <v>159</v>
      </c>
      <c r="J664">
        <v>0.79600000000000004</v>
      </c>
      <c r="K664">
        <v>3.05</v>
      </c>
      <c r="L664">
        <v>6.43</v>
      </c>
      <c r="M664">
        <v>12.7</v>
      </c>
      <c r="N664">
        <v>21.9</v>
      </c>
      <c r="O664">
        <v>17.93</v>
      </c>
      <c r="P664">
        <v>81.56</v>
      </c>
      <c r="Q664">
        <v>0.51</v>
      </c>
    </row>
    <row r="665" spans="1:17">
      <c r="A665">
        <v>1150.2</v>
      </c>
      <c r="B665">
        <v>1128.8</v>
      </c>
      <c r="C665">
        <v>746</v>
      </c>
      <c r="D665">
        <v>698</v>
      </c>
      <c r="E665" t="s">
        <v>66</v>
      </c>
      <c r="F665" t="b">
        <v>0</v>
      </c>
      <c r="G665" t="b">
        <v>0</v>
      </c>
      <c r="H665">
        <v>1.1000000000000001</v>
      </c>
      <c r="I665" t="s">
        <v>159</v>
      </c>
      <c r="J665">
        <v>0.79600000000000004</v>
      </c>
      <c r="K665">
        <v>3.05</v>
      </c>
      <c r="L665">
        <v>6.43</v>
      </c>
      <c r="M665">
        <v>12.7</v>
      </c>
      <c r="N665">
        <v>21.9</v>
      </c>
      <c r="O665">
        <v>17.93</v>
      </c>
      <c r="P665">
        <v>81.56</v>
      </c>
      <c r="Q665">
        <v>0.51</v>
      </c>
    </row>
    <row r="666" spans="1:17">
      <c r="A666">
        <v>1159.8</v>
      </c>
      <c r="B666">
        <v>1138.4000000000001</v>
      </c>
      <c r="C666">
        <v>753</v>
      </c>
      <c r="D666">
        <v>706</v>
      </c>
      <c r="E666" t="s">
        <v>66</v>
      </c>
      <c r="F666" t="b">
        <v>0</v>
      </c>
      <c r="G666" t="b">
        <v>1</v>
      </c>
      <c r="H666">
        <v>9.6</v>
      </c>
      <c r="I666">
        <v>4.7430000000000003</v>
      </c>
      <c r="J666">
        <v>0.79600000000000004</v>
      </c>
      <c r="K666">
        <v>3.05</v>
      </c>
      <c r="L666">
        <v>6.43</v>
      </c>
      <c r="M666">
        <v>12.7</v>
      </c>
      <c r="N666">
        <v>21.9</v>
      </c>
      <c r="O666">
        <v>17.93</v>
      </c>
      <c r="P666">
        <v>81.56</v>
      </c>
      <c r="Q666">
        <v>0.51</v>
      </c>
    </row>
    <row r="667" spans="1:17">
      <c r="A667">
        <v>1161</v>
      </c>
      <c r="B667">
        <v>1139.5999999999999</v>
      </c>
      <c r="C667">
        <v>753</v>
      </c>
      <c r="D667">
        <v>707</v>
      </c>
      <c r="E667" t="s">
        <v>66</v>
      </c>
      <c r="F667" t="b">
        <v>0</v>
      </c>
      <c r="G667" t="b">
        <v>0</v>
      </c>
      <c r="H667">
        <v>1.2</v>
      </c>
      <c r="I667">
        <v>4.7430000000000003</v>
      </c>
      <c r="J667">
        <v>0.79600000000000004</v>
      </c>
      <c r="K667">
        <v>3.05</v>
      </c>
      <c r="L667">
        <v>6.43</v>
      </c>
      <c r="M667">
        <v>12.7</v>
      </c>
      <c r="N667">
        <v>21.9</v>
      </c>
      <c r="O667">
        <v>17.93</v>
      </c>
      <c r="P667">
        <v>81.56</v>
      </c>
      <c r="Q667">
        <v>0.51</v>
      </c>
    </row>
    <row r="668" spans="1:17">
      <c r="A668">
        <v>1161.5999999999999</v>
      </c>
      <c r="B668">
        <v>1140.2</v>
      </c>
      <c r="C668">
        <v>754</v>
      </c>
      <c r="D668">
        <v>708</v>
      </c>
      <c r="E668" t="s">
        <v>66</v>
      </c>
      <c r="F668" t="b">
        <v>0</v>
      </c>
      <c r="G668" t="b">
        <v>0</v>
      </c>
      <c r="H668">
        <v>0.6</v>
      </c>
      <c r="I668">
        <v>4.7430000000000003</v>
      </c>
      <c r="J668">
        <v>0.79600000000000004</v>
      </c>
      <c r="K668">
        <v>3.05</v>
      </c>
      <c r="L668">
        <v>6.43</v>
      </c>
      <c r="M668">
        <v>12.7</v>
      </c>
      <c r="N668">
        <v>21.9</v>
      </c>
      <c r="O668">
        <v>17.93</v>
      </c>
      <c r="P668">
        <v>81.56</v>
      </c>
      <c r="Q668">
        <v>0.51</v>
      </c>
    </row>
    <row r="669" spans="1:17">
      <c r="A669">
        <v>1162.9000000000001</v>
      </c>
      <c r="B669">
        <v>1141.5</v>
      </c>
      <c r="C669">
        <v>755</v>
      </c>
      <c r="D669">
        <v>709</v>
      </c>
      <c r="E669" t="s">
        <v>66</v>
      </c>
      <c r="F669" t="b">
        <v>0</v>
      </c>
      <c r="G669" t="b">
        <v>0</v>
      </c>
      <c r="H669">
        <v>1.3</v>
      </c>
      <c r="I669">
        <v>4.7430000000000003</v>
      </c>
      <c r="J669">
        <v>0.79600000000000004</v>
      </c>
      <c r="K669">
        <v>3.05</v>
      </c>
      <c r="L669">
        <v>6.43</v>
      </c>
      <c r="M669">
        <v>12.7</v>
      </c>
      <c r="N669">
        <v>21.9</v>
      </c>
      <c r="O669">
        <v>17.93</v>
      </c>
      <c r="P669">
        <v>81.56</v>
      </c>
      <c r="Q669">
        <v>0.51</v>
      </c>
    </row>
    <row r="670" spans="1:17">
      <c r="A670">
        <v>1164</v>
      </c>
      <c r="B670">
        <v>1142.7</v>
      </c>
      <c r="C670">
        <v>756</v>
      </c>
      <c r="D670">
        <v>710</v>
      </c>
      <c r="E670" t="s">
        <v>66</v>
      </c>
      <c r="F670" t="b">
        <v>0</v>
      </c>
      <c r="G670" t="b">
        <v>0</v>
      </c>
      <c r="H670">
        <v>1.1000000000000001</v>
      </c>
      <c r="I670">
        <v>4.7430000000000003</v>
      </c>
      <c r="J670">
        <v>0.79600000000000004</v>
      </c>
      <c r="K670">
        <v>3.05</v>
      </c>
      <c r="L670">
        <v>6.43</v>
      </c>
      <c r="M670">
        <v>12.7</v>
      </c>
      <c r="N670">
        <v>21.9</v>
      </c>
      <c r="O670">
        <v>17.93</v>
      </c>
      <c r="P670">
        <v>81.56</v>
      </c>
      <c r="Q670">
        <v>0.51</v>
      </c>
    </row>
    <row r="671" spans="1:17">
      <c r="A671">
        <v>1165.5999999999999</v>
      </c>
      <c r="B671">
        <v>1144.3</v>
      </c>
      <c r="C671">
        <v>757</v>
      </c>
      <c r="D671">
        <v>711</v>
      </c>
      <c r="E671" t="s">
        <v>66</v>
      </c>
      <c r="F671" t="b">
        <v>0</v>
      </c>
      <c r="G671" t="b">
        <v>0</v>
      </c>
      <c r="H671">
        <v>1.6</v>
      </c>
      <c r="I671">
        <v>4.7430000000000003</v>
      </c>
      <c r="J671">
        <v>5.51</v>
      </c>
      <c r="K671">
        <v>8.51</v>
      </c>
      <c r="L671">
        <v>13.9</v>
      </c>
      <c r="M671">
        <v>22.8</v>
      </c>
      <c r="N671">
        <v>35.200000000000003</v>
      </c>
      <c r="O671">
        <v>5.9999999999999995E-4</v>
      </c>
      <c r="P671">
        <v>98.1</v>
      </c>
      <c r="Q671">
        <v>1.9</v>
      </c>
    </row>
    <row r="672" spans="1:17">
      <c r="A672">
        <v>1166.5</v>
      </c>
      <c r="B672">
        <v>1145.0999999999999</v>
      </c>
      <c r="C672">
        <v>757</v>
      </c>
      <c r="D672">
        <v>712</v>
      </c>
      <c r="E672" t="s">
        <v>66</v>
      </c>
      <c r="F672" t="b">
        <v>0</v>
      </c>
      <c r="G672" t="b">
        <v>0</v>
      </c>
      <c r="H672">
        <v>0.9</v>
      </c>
      <c r="I672">
        <v>4.7430000000000003</v>
      </c>
      <c r="J672">
        <v>5.51</v>
      </c>
      <c r="K672">
        <v>8.51</v>
      </c>
      <c r="L672">
        <v>13.9</v>
      </c>
      <c r="M672">
        <v>22.8</v>
      </c>
      <c r="N672">
        <v>35.200000000000003</v>
      </c>
      <c r="O672">
        <v>5.9999999999999995E-4</v>
      </c>
      <c r="P672">
        <v>98.1</v>
      </c>
      <c r="Q672">
        <v>1.9</v>
      </c>
    </row>
    <row r="673" spans="1:17">
      <c r="A673">
        <v>1168</v>
      </c>
      <c r="B673">
        <v>1146.7</v>
      </c>
      <c r="C673">
        <v>758</v>
      </c>
      <c r="D673">
        <v>713</v>
      </c>
      <c r="E673" t="s">
        <v>66</v>
      </c>
      <c r="F673" t="b">
        <v>0</v>
      </c>
      <c r="G673" t="b">
        <v>0</v>
      </c>
      <c r="H673">
        <v>1.5</v>
      </c>
      <c r="I673">
        <v>4.7430000000000003</v>
      </c>
      <c r="J673">
        <v>5.51</v>
      </c>
      <c r="K673">
        <v>8.51</v>
      </c>
      <c r="L673">
        <v>13.9</v>
      </c>
      <c r="M673">
        <v>22.8</v>
      </c>
      <c r="N673">
        <v>35.200000000000003</v>
      </c>
      <c r="O673">
        <v>5.9999999999999995E-4</v>
      </c>
      <c r="P673">
        <v>98.1</v>
      </c>
      <c r="Q673">
        <v>1.9</v>
      </c>
    </row>
    <row r="674" spans="1:17">
      <c r="A674">
        <v>1169.0999999999999</v>
      </c>
      <c r="B674">
        <v>1147.8</v>
      </c>
      <c r="C674">
        <v>759</v>
      </c>
      <c r="D674">
        <v>714</v>
      </c>
      <c r="E674" t="s">
        <v>66</v>
      </c>
      <c r="F674" t="b">
        <v>0</v>
      </c>
      <c r="G674" t="b">
        <v>0</v>
      </c>
      <c r="H674">
        <v>1.1000000000000001</v>
      </c>
      <c r="I674">
        <v>4.7430000000000003</v>
      </c>
      <c r="J674">
        <v>5.51</v>
      </c>
      <c r="K674">
        <v>8.51</v>
      </c>
      <c r="L674">
        <v>13.9</v>
      </c>
      <c r="M674">
        <v>22.8</v>
      </c>
      <c r="N674">
        <v>35.200000000000003</v>
      </c>
      <c r="O674">
        <v>5.9999999999999995E-4</v>
      </c>
      <c r="P674">
        <v>98.1</v>
      </c>
      <c r="Q674">
        <v>1.9</v>
      </c>
    </row>
    <row r="675" spans="1:17">
      <c r="A675">
        <v>1171.5999999999999</v>
      </c>
      <c r="B675">
        <v>1150.2</v>
      </c>
      <c r="C675">
        <v>761</v>
      </c>
      <c r="D675">
        <v>715</v>
      </c>
      <c r="E675" t="s">
        <v>66</v>
      </c>
      <c r="F675" t="b">
        <v>0</v>
      </c>
      <c r="G675" t="b">
        <v>0</v>
      </c>
      <c r="H675">
        <v>2.4</v>
      </c>
      <c r="I675">
        <v>4.7430000000000003</v>
      </c>
      <c r="J675">
        <v>5.51</v>
      </c>
      <c r="K675">
        <v>8.51</v>
      </c>
      <c r="L675">
        <v>13.9</v>
      </c>
      <c r="M675">
        <v>22.8</v>
      </c>
      <c r="N675">
        <v>35.200000000000003</v>
      </c>
      <c r="O675">
        <v>5.9999999999999995E-4</v>
      </c>
      <c r="P675">
        <v>98.1</v>
      </c>
      <c r="Q675">
        <v>1.9</v>
      </c>
    </row>
    <row r="676" spans="1:17">
      <c r="A676">
        <v>1172.5</v>
      </c>
      <c r="B676">
        <v>1151.0999999999999</v>
      </c>
      <c r="C676">
        <v>762</v>
      </c>
      <c r="D676">
        <v>716</v>
      </c>
      <c r="E676" t="s">
        <v>66</v>
      </c>
      <c r="F676" t="b">
        <v>0</v>
      </c>
      <c r="G676" t="b">
        <v>0</v>
      </c>
      <c r="H676">
        <v>0.9</v>
      </c>
      <c r="I676">
        <v>4.7430000000000003</v>
      </c>
      <c r="J676">
        <v>5.51</v>
      </c>
      <c r="K676">
        <v>8.51</v>
      </c>
      <c r="L676">
        <v>13.9</v>
      </c>
      <c r="M676">
        <v>22.8</v>
      </c>
      <c r="N676">
        <v>35.200000000000003</v>
      </c>
      <c r="O676">
        <v>5.9999999999999995E-4</v>
      </c>
      <c r="P676">
        <v>98.1</v>
      </c>
      <c r="Q676">
        <v>1.9</v>
      </c>
    </row>
    <row r="677" spans="1:17">
      <c r="A677">
        <v>1173.9000000000001</v>
      </c>
      <c r="B677">
        <v>1152.5</v>
      </c>
      <c r="C677">
        <v>763</v>
      </c>
      <c r="D677">
        <v>717</v>
      </c>
      <c r="E677" t="s">
        <v>66</v>
      </c>
      <c r="F677" t="b">
        <v>0</v>
      </c>
      <c r="G677" t="b">
        <v>0</v>
      </c>
      <c r="H677">
        <v>1.4</v>
      </c>
      <c r="I677">
        <v>4.7430000000000003</v>
      </c>
      <c r="J677">
        <v>5.51</v>
      </c>
      <c r="K677">
        <v>8.51</v>
      </c>
      <c r="L677">
        <v>13.9</v>
      </c>
      <c r="M677">
        <v>22.8</v>
      </c>
      <c r="N677">
        <v>35.200000000000003</v>
      </c>
      <c r="O677">
        <v>5.9999999999999995E-4</v>
      </c>
      <c r="P677">
        <v>98.1</v>
      </c>
      <c r="Q677">
        <v>1.9</v>
      </c>
    </row>
    <row r="678" spans="1:17">
      <c r="A678">
        <v>1175.4000000000001</v>
      </c>
      <c r="B678">
        <v>1154.0999999999999</v>
      </c>
      <c r="C678">
        <v>764</v>
      </c>
      <c r="D678">
        <v>718</v>
      </c>
      <c r="E678" t="s">
        <v>66</v>
      </c>
      <c r="F678" t="b">
        <v>0</v>
      </c>
      <c r="G678" t="b">
        <v>0</v>
      </c>
      <c r="H678">
        <v>1.5</v>
      </c>
      <c r="I678">
        <v>4.7430000000000003</v>
      </c>
      <c r="J678">
        <v>5.51</v>
      </c>
      <c r="K678">
        <v>8.51</v>
      </c>
      <c r="L678">
        <v>13.9</v>
      </c>
      <c r="M678">
        <v>22.8</v>
      </c>
      <c r="N678">
        <v>35.200000000000003</v>
      </c>
      <c r="O678">
        <v>5.9999999999999995E-4</v>
      </c>
      <c r="P678">
        <v>98.1</v>
      </c>
      <c r="Q678">
        <v>1.9</v>
      </c>
    </row>
    <row r="679" spans="1:17">
      <c r="A679">
        <v>1176.3</v>
      </c>
      <c r="B679">
        <v>1154.9000000000001</v>
      </c>
      <c r="C679">
        <v>764</v>
      </c>
      <c r="D679">
        <v>719</v>
      </c>
      <c r="E679" t="s">
        <v>66</v>
      </c>
      <c r="F679" t="b">
        <v>0</v>
      </c>
      <c r="G679" t="b">
        <v>0</v>
      </c>
      <c r="H679">
        <v>0.9</v>
      </c>
      <c r="I679">
        <v>4.7430000000000003</v>
      </c>
      <c r="J679">
        <v>5.51</v>
      </c>
      <c r="K679">
        <v>8.51</v>
      </c>
      <c r="L679">
        <v>13.9</v>
      </c>
      <c r="M679">
        <v>22.8</v>
      </c>
      <c r="N679">
        <v>35.200000000000003</v>
      </c>
      <c r="O679">
        <v>5.9999999999999995E-4</v>
      </c>
      <c r="P679">
        <v>98.1</v>
      </c>
      <c r="Q679">
        <v>1.9</v>
      </c>
    </row>
    <row r="680" spans="1:17">
      <c r="A680">
        <v>1177.2</v>
      </c>
      <c r="B680">
        <v>1155.8</v>
      </c>
      <c r="C680">
        <v>765</v>
      </c>
      <c r="D680">
        <v>720</v>
      </c>
      <c r="E680" t="s">
        <v>66</v>
      </c>
      <c r="F680" t="b">
        <v>0</v>
      </c>
      <c r="G680" t="b">
        <v>0</v>
      </c>
      <c r="H680">
        <v>0.9</v>
      </c>
      <c r="I680">
        <v>4.7430000000000003</v>
      </c>
      <c r="J680">
        <v>5.51</v>
      </c>
      <c r="K680">
        <v>8.51</v>
      </c>
      <c r="L680">
        <v>13.9</v>
      </c>
      <c r="M680">
        <v>22.8</v>
      </c>
      <c r="N680">
        <v>35.200000000000003</v>
      </c>
      <c r="O680">
        <v>5.9999999999999995E-4</v>
      </c>
      <c r="P680">
        <v>98.1</v>
      </c>
      <c r="Q680">
        <v>1.9</v>
      </c>
    </row>
    <row r="681" spans="1:17">
      <c r="A681">
        <v>1178.5</v>
      </c>
      <c r="B681">
        <v>1157.2</v>
      </c>
      <c r="C681">
        <v>766</v>
      </c>
      <c r="D681">
        <v>721</v>
      </c>
      <c r="E681" t="s">
        <v>66</v>
      </c>
      <c r="F681" t="b">
        <v>0</v>
      </c>
      <c r="G681" t="b">
        <v>0</v>
      </c>
      <c r="H681">
        <v>1.4</v>
      </c>
      <c r="I681">
        <v>4.7430000000000003</v>
      </c>
      <c r="J681">
        <v>5.51</v>
      </c>
      <c r="K681">
        <v>8.51</v>
      </c>
      <c r="L681">
        <v>13.9</v>
      </c>
      <c r="M681">
        <v>22.8</v>
      </c>
      <c r="N681">
        <v>35.200000000000003</v>
      </c>
      <c r="O681">
        <v>5.9999999999999995E-4</v>
      </c>
      <c r="P681">
        <v>98.1</v>
      </c>
      <c r="Q681">
        <v>1.9</v>
      </c>
    </row>
    <row r="682" spans="1:17">
      <c r="A682">
        <v>1179.3</v>
      </c>
      <c r="B682">
        <v>1158</v>
      </c>
      <c r="C682">
        <v>767</v>
      </c>
      <c r="D682">
        <v>722</v>
      </c>
      <c r="E682" t="s">
        <v>66</v>
      </c>
      <c r="F682" t="b">
        <v>0</v>
      </c>
      <c r="G682" t="b">
        <v>0</v>
      </c>
      <c r="H682">
        <v>0.8</v>
      </c>
      <c r="I682">
        <v>4.7430000000000003</v>
      </c>
      <c r="J682">
        <v>5.51</v>
      </c>
      <c r="K682">
        <v>8.51</v>
      </c>
      <c r="L682">
        <v>13.9</v>
      </c>
      <c r="M682">
        <v>22.8</v>
      </c>
      <c r="N682">
        <v>35.200000000000003</v>
      </c>
      <c r="O682">
        <v>5.9999999999999995E-4</v>
      </c>
      <c r="P682">
        <v>98.1</v>
      </c>
      <c r="Q682">
        <v>1.9</v>
      </c>
    </row>
    <row r="683" spans="1:17">
      <c r="A683">
        <v>1180.2</v>
      </c>
      <c r="B683">
        <v>1158.8</v>
      </c>
      <c r="C683">
        <v>767</v>
      </c>
      <c r="D683">
        <v>723</v>
      </c>
      <c r="E683" t="s">
        <v>66</v>
      </c>
      <c r="F683" t="b">
        <v>0</v>
      </c>
      <c r="G683" t="b">
        <v>0</v>
      </c>
      <c r="H683">
        <v>0.9</v>
      </c>
      <c r="I683">
        <v>4.7430000000000003</v>
      </c>
      <c r="J683">
        <v>5.51</v>
      </c>
      <c r="K683">
        <v>8.51</v>
      </c>
      <c r="L683">
        <v>13.9</v>
      </c>
      <c r="M683">
        <v>22.8</v>
      </c>
      <c r="N683">
        <v>35.200000000000003</v>
      </c>
      <c r="O683">
        <v>5.9999999999999995E-4</v>
      </c>
      <c r="P683">
        <v>98.1</v>
      </c>
      <c r="Q683">
        <v>1.9</v>
      </c>
    </row>
    <row r="684" spans="1:17">
      <c r="A684">
        <v>1181.5</v>
      </c>
      <c r="B684">
        <v>1160.0999999999999</v>
      </c>
      <c r="C684">
        <v>768</v>
      </c>
      <c r="D684">
        <v>724</v>
      </c>
      <c r="E684" t="s">
        <v>66</v>
      </c>
      <c r="F684" t="b">
        <v>0</v>
      </c>
      <c r="G684" t="b">
        <v>0</v>
      </c>
      <c r="H684">
        <v>1.3</v>
      </c>
      <c r="I684" t="s">
        <v>159</v>
      </c>
      <c r="J684">
        <v>5.51</v>
      </c>
      <c r="K684">
        <v>8.51</v>
      </c>
      <c r="L684">
        <v>13.9</v>
      </c>
      <c r="M684">
        <v>22.8</v>
      </c>
      <c r="N684">
        <v>35.200000000000003</v>
      </c>
      <c r="O684">
        <v>5.9999999999999995E-4</v>
      </c>
      <c r="P684">
        <v>98.1</v>
      </c>
      <c r="Q684">
        <v>1.9</v>
      </c>
    </row>
    <row r="685" spans="1:17">
      <c r="A685">
        <v>1182.8</v>
      </c>
      <c r="B685">
        <v>1161.4000000000001</v>
      </c>
      <c r="C685">
        <v>769</v>
      </c>
      <c r="D685">
        <v>725</v>
      </c>
      <c r="E685" t="s">
        <v>66</v>
      </c>
      <c r="F685" t="b">
        <v>0</v>
      </c>
      <c r="G685" t="b">
        <v>0</v>
      </c>
      <c r="H685">
        <v>1.3</v>
      </c>
      <c r="I685" t="s">
        <v>159</v>
      </c>
      <c r="J685">
        <v>5.51</v>
      </c>
      <c r="K685">
        <v>8.51</v>
      </c>
      <c r="L685">
        <v>13.9</v>
      </c>
      <c r="M685">
        <v>22.8</v>
      </c>
      <c r="N685">
        <v>35.200000000000003</v>
      </c>
      <c r="O685">
        <v>5.9999999999999995E-4</v>
      </c>
      <c r="P685">
        <v>98.1</v>
      </c>
      <c r="Q685">
        <v>1.9</v>
      </c>
    </row>
    <row r="686" spans="1:17">
      <c r="A686">
        <v>1183.8</v>
      </c>
      <c r="B686">
        <v>1162.4000000000001</v>
      </c>
      <c r="C686">
        <v>770</v>
      </c>
      <c r="D686">
        <v>726</v>
      </c>
      <c r="E686" t="s">
        <v>66</v>
      </c>
      <c r="F686" t="b">
        <v>0</v>
      </c>
      <c r="G686" t="b">
        <v>0</v>
      </c>
      <c r="H686">
        <v>1</v>
      </c>
      <c r="I686" t="s">
        <v>159</v>
      </c>
      <c r="J686">
        <v>5.51</v>
      </c>
      <c r="K686">
        <v>8.51</v>
      </c>
      <c r="L686">
        <v>13.9</v>
      </c>
      <c r="M686">
        <v>22.8</v>
      </c>
      <c r="N686">
        <v>35.200000000000003</v>
      </c>
      <c r="O686">
        <v>5.9999999999999995E-4</v>
      </c>
      <c r="P686">
        <v>98.1</v>
      </c>
      <c r="Q686">
        <v>1.9</v>
      </c>
    </row>
    <row r="687" spans="1:17">
      <c r="A687">
        <v>1184.5999999999999</v>
      </c>
      <c r="B687">
        <v>1163.3</v>
      </c>
      <c r="C687">
        <v>770</v>
      </c>
      <c r="D687">
        <v>727</v>
      </c>
      <c r="E687" t="s">
        <v>66</v>
      </c>
      <c r="F687" t="b">
        <v>0</v>
      </c>
      <c r="G687" t="b">
        <v>0</v>
      </c>
      <c r="H687">
        <v>0.8</v>
      </c>
      <c r="I687" t="s">
        <v>159</v>
      </c>
      <c r="J687">
        <v>5.51</v>
      </c>
      <c r="K687">
        <v>8.51</v>
      </c>
      <c r="L687">
        <v>13.9</v>
      </c>
      <c r="M687">
        <v>22.8</v>
      </c>
      <c r="N687">
        <v>35.200000000000003</v>
      </c>
      <c r="O687">
        <v>5.9999999999999995E-4</v>
      </c>
      <c r="P687">
        <v>98.1</v>
      </c>
      <c r="Q687">
        <v>1.9</v>
      </c>
    </row>
    <row r="688" spans="1:17">
      <c r="A688">
        <v>1185.2</v>
      </c>
      <c r="B688">
        <v>1163.8</v>
      </c>
      <c r="C688">
        <v>771</v>
      </c>
      <c r="D688">
        <v>728</v>
      </c>
      <c r="E688" t="s">
        <v>66</v>
      </c>
      <c r="F688" t="b">
        <v>0</v>
      </c>
      <c r="G688" t="b">
        <v>0</v>
      </c>
      <c r="H688">
        <v>0.5</v>
      </c>
      <c r="I688" t="s">
        <v>159</v>
      </c>
      <c r="J688">
        <v>5.51</v>
      </c>
      <c r="K688">
        <v>8.51</v>
      </c>
      <c r="L688">
        <v>13.9</v>
      </c>
      <c r="M688">
        <v>22.8</v>
      </c>
      <c r="N688">
        <v>35.200000000000003</v>
      </c>
      <c r="O688">
        <v>5.9999999999999995E-4</v>
      </c>
      <c r="P688">
        <v>98.1</v>
      </c>
      <c r="Q688">
        <v>1.9</v>
      </c>
    </row>
    <row r="689" spans="1:17">
      <c r="A689">
        <v>1186.8</v>
      </c>
      <c r="B689">
        <v>1165.5</v>
      </c>
      <c r="C689">
        <v>772</v>
      </c>
      <c r="D689">
        <v>729</v>
      </c>
      <c r="E689" t="s">
        <v>66</v>
      </c>
      <c r="F689" t="b">
        <v>0</v>
      </c>
      <c r="G689" t="b">
        <v>0</v>
      </c>
      <c r="H689">
        <v>1.7</v>
      </c>
      <c r="I689" t="s">
        <v>159</v>
      </c>
      <c r="J689" t="s">
        <v>159</v>
      </c>
      <c r="K689" t="s">
        <v>159</v>
      </c>
      <c r="L689" t="s">
        <v>159</v>
      </c>
      <c r="M689" t="s">
        <v>159</v>
      </c>
      <c r="N689" t="s">
        <v>159</v>
      </c>
      <c r="O689" t="s">
        <v>159</v>
      </c>
      <c r="P689" t="s">
        <v>159</v>
      </c>
      <c r="Q689" t="s">
        <v>159</v>
      </c>
    </row>
    <row r="690" spans="1:17">
      <c r="A690">
        <v>1187.5</v>
      </c>
      <c r="B690">
        <v>1166.0999999999999</v>
      </c>
      <c r="C690">
        <v>772</v>
      </c>
      <c r="D690">
        <v>730</v>
      </c>
      <c r="E690" t="s">
        <v>66</v>
      </c>
      <c r="F690" t="b">
        <v>0</v>
      </c>
      <c r="G690" t="b">
        <v>0</v>
      </c>
      <c r="H690">
        <v>0.6</v>
      </c>
      <c r="I690" t="s">
        <v>159</v>
      </c>
      <c r="J690" t="s">
        <v>159</v>
      </c>
      <c r="K690" t="s">
        <v>159</v>
      </c>
      <c r="L690" t="s">
        <v>159</v>
      </c>
      <c r="M690" t="s">
        <v>159</v>
      </c>
      <c r="N690" t="s">
        <v>159</v>
      </c>
      <c r="O690" t="s">
        <v>159</v>
      </c>
      <c r="P690" t="s">
        <v>159</v>
      </c>
      <c r="Q690" t="s">
        <v>159</v>
      </c>
    </row>
    <row r="691" spans="1:17">
      <c r="A691">
        <v>1188.3</v>
      </c>
      <c r="B691">
        <v>1167</v>
      </c>
      <c r="C691">
        <v>773</v>
      </c>
      <c r="D691">
        <v>731</v>
      </c>
      <c r="E691" t="s">
        <v>66</v>
      </c>
      <c r="F691" t="b">
        <v>0</v>
      </c>
      <c r="G691" t="b">
        <v>0</v>
      </c>
      <c r="H691">
        <v>0.9</v>
      </c>
      <c r="I691" t="s">
        <v>159</v>
      </c>
      <c r="J691" t="s">
        <v>159</v>
      </c>
      <c r="K691" t="s">
        <v>159</v>
      </c>
      <c r="L691" t="s">
        <v>159</v>
      </c>
      <c r="M691" t="s">
        <v>159</v>
      </c>
      <c r="N691" t="s">
        <v>159</v>
      </c>
      <c r="O691" t="s">
        <v>159</v>
      </c>
      <c r="P691" t="s">
        <v>159</v>
      </c>
      <c r="Q691" t="s">
        <v>159</v>
      </c>
    </row>
    <row r="692" spans="1:17">
      <c r="A692">
        <v>1188.9000000000001</v>
      </c>
      <c r="B692">
        <v>1167.5</v>
      </c>
      <c r="C692">
        <v>773</v>
      </c>
      <c r="D692">
        <v>732</v>
      </c>
      <c r="E692" t="s">
        <v>66</v>
      </c>
      <c r="F692" t="b">
        <v>0</v>
      </c>
      <c r="G692" t="b">
        <v>0</v>
      </c>
      <c r="H692">
        <v>0.5</v>
      </c>
      <c r="I692" t="s">
        <v>159</v>
      </c>
      <c r="J692" t="s">
        <v>159</v>
      </c>
      <c r="K692" t="s">
        <v>159</v>
      </c>
      <c r="L692" t="s">
        <v>159</v>
      </c>
      <c r="M692" t="s">
        <v>159</v>
      </c>
      <c r="N692" t="s">
        <v>159</v>
      </c>
      <c r="O692" t="s">
        <v>159</v>
      </c>
      <c r="P692" t="s">
        <v>159</v>
      </c>
      <c r="Q692" t="s">
        <v>159</v>
      </c>
    </row>
    <row r="693" spans="1:17">
      <c r="A693">
        <v>1189.4000000000001</v>
      </c>
      <c r="B693">
        <v>1168</v>
      </c>
      <c r="C693">
        <v>774</v>
      </c>
      <c r="D693">
        <v>733</v>
      </c>
      <c r="E693" t="s">
        <v>66</v>
      </c>
      <c r="F693" t="b">
        <v>0</v>
      </c>
      <c r="G693" t="b">
        <v>0</v>
      </c>
      <c r="H693">
        <v>0.5</v>
      </c>
      <c r="I693" t="s">
        <v>159</v>
      </c>
      <c r="J693" t="s">
        <v>159</v>
      </c>
      <c r="K693" t="s">
        <v>159</v>
      </c>
      <c r="L693" t="s">
        <v>159</v>
      </c>
      <c r="M693" t="s">
        <v>159</v>
      </c>
      <c r="N693" t="s">
        <v>159</v>
      </c>
      <c r="O693" t="s">
        <v>159</v>
      </c>
      <c r="P693" t="s">
        <v>159</v>
      </c>
      <c r="Q693" t="s">
        <v>159</v>
      </c>
    </row>
    <row r="694" spans="1:17">
      <c r="A694">
        <v>1190.8</v>
      </c>
      <c r="B694">
        <v>1169.5</v>
      </c>
      <c r="C694">
        <v>775</v>
      </c>
      <c r="D694">
        <v>734</v>
      </c>
      <c r="E694" t="s">
        <v>66</v>
      </c>
      <c r="F694" t="b">
        <v>0</v>
      </c>
      <c r="G694" t="b">
        <v>0</v>
      </c>
      <c r="H694">
        <v>1.5</v>
      </c>
      <c r="I694" t="s">
        <v>159</v>
      </c>
      <c r="J694" t="s">
        <v>159</v>
      </c>
      <c r="K694" t="s">
        <v>159</v>
      </c>
      <c r="L694" t="s">
        <v>159</v>
      </c>
      <c r="M694" t="s">
        <v>159</v>
      </c>
      <c r="N694" t="s">
        <v>159</v>
      </c>
      <c r="O694" t="s">
        <v>159</v>
      </c>
      <c r="P694" t="s">
        <v>159</v>
      </c>
      <c r="Q694" t="s">
        <v>159</v>
      </c>
    </row>
    <row r="695" spans="1:17">
      <c r="A695">
        <v>1192</v>
      </c>
      <c r="B695">
        <v>1170.5999999999999</v>
      </c>
      <c r="C695">
        <v>776</v>
      </c>
      <c r="D695">
        <v>735</v>
      </c>
      <c r="E695" t="s">
        <v>66</v>
      </c>
      <c r="F695" t="b">
        <v>0</v>
      </c>
      <c r="G695" t="b">
        <v>0</v>
      </c>
      <c r="H695">
        <v>1.1000000000000001</v>
      </c>
      <c r="I695" t="s">
        <v>159</v>
      </c>
      <c r="J695" t="s">
        <v>159</v>
      </c>
      <c r="K695" t="s">
        <v>159</v>
      </c>
      <c r="L695" t="s">
        <v>159</v>
      </c>
      <c r="M695" t="s">
        <v>159</v>
      </c>
      <c r="N695" t="s">
        <v>159</v>
      </c>
      <c r="O695" t="s">
        <v>159</v>
      </c>
      <c r="P695" t="s">
        <v>159</v>
      </c>
      <c r="Q695" t="s">
        <v>159</v>
      </c>
    </row>
    <row r="696" spans="1:17">
      <c r="A696">
        <v>1197.7</v>
      </c>
      <c r="B696">
        <v>1176.3</v>
      </c>
      <c r="C696">
        <v>780</v>
      </c>
      <c r="D696">
        <v>741</v>
      </c>
      <c r="E696" t="s">
        <v>66</v>
      </c>
      <c r="F696" t="b">
        <v>0</v>
      </c>
      <c r="G696" t="b">
        <v>1</v>
      </c>
      <c r="H696">
        <v>5.7</v>
      </c>
      <c r="I696" t="s">
        <v>159</v>
      </c>
      <c r="J696">
        <v>0.80100000000000005</v>
      </c>
      <c r="K696">
        <v>3.08</v>
      </c>
      <c r="L696">
        <v>6.39</v>
      </c>
      <c r="M696">
        <v>12.3</v>
      </c>
      <c r="N696">
        <v>20.8</v>
      </c>
      <c r="O696">
        <v>17.72</v>
      </c>
      <c r="P696">
        <v>81.89</v>
      </c>
      <c r="Q696">
        <v>0.39</v>
      </c>
    </row>
    <row r="697" spans="1:17">
      <c r="A697">
        <v>1198.9000000000001</v>
      </c>
      <c r="B697">
        <v>1177.5999999999999</v>
      </c>
      <c r="C697">
        <v>781</v>
      </c>
      <c r="D697">
        <v>742</v>
      </c>
      <c r="E697" t="s">
        <v>66</v>
      </c>
      <c r="F697" t="b">
        <v>0</v>
      </c>
      <c r="G697" t="b">
        <v>0</v>
      </c>
      <c r="H697">
        <v>1.2</v>
      </c>
      <c r="I697" t="s">
        <v>159</v>
      </c>
      <c r="J697">
        <v>0.80100000000000005</v>
      </c>
      <c r="K697">
        <v>3.08</v>
      </c>
      <c r="L697">
        <v>6.39</v>
      </c>
      <c r="M697">
        <v>12.3</v>
      </c>
      <c r="N697">
        <v>20.8</v>
      </c>
      <c r="O697">
        <v>17.72</v>
      </c>
      <c r="P697">
        <v>81.89</v>
      </c>
      <c r="Q697">
        <v>0.39</v>
      </c>
    </row>
    <row r="698" spans="1:17">
      <c r="A698">
        <v>1200</v>
      </c>
      <c r="B698">
        <v>1178.5999999999999</v>
      </c>
      <c r="C698">
        <v>781</v>
      </c>
      <c r="D698">
        <v>743</v>
      </c>
      <c r="E698" t="s">
        <v>66</v>
      </c>
      <c r="F698" t="b">
        <v>0</v>
      </c>
      <c r="G698" t="b">
        <v>0</v>
      </c>
      <c r="H698">
        <v>1</v>
      </c>
      <c r="I698" t="s">
        <v>159</v>
      </c>
      <c r="J698">
        <v>0.80100000000000005</v>
      </c>
      <c r="K698">
        <v>3.08</v>
      </c>
      <c r="L698">
        <v>6.39</v>
      </c>
      <c r="M698">
        <v>12.3</v>
      </c>
      <c r="N698">
        <v>20.8</v>
      </c>
      <c r="O698">
        <v>17.72</v>
      </c>
      <c r="P698">
        <v>81.89</v>
      </c>
      <c r="Q698">
        <v>0.39</v>
      </c>
    </row>
    <row r="699" spans="1:17">
      <c r="A699">
        <v>1201.0999999999999</v>
      </c>
      <c r="B699">
        <v>1179.8</v>
      </c>
      <c r="C699">
        <v>782</v>
      </c>
      <c r="D699">
        <v>744</v>
      </c>
      <c r="E699" t="s">
        <v>66</v>
      </c>
      <c r="F699" t="b">
        <v>0</v>
      </c>
      <c r="G699" t="b">
        <v>0</v>
      </c>
      <c r="H699">
        <v>1.2</v>
      </c>
      <c r="I699" t="s">
        <v>159</v>
      </c>
      <c r="J699">
        <v>0.80100000000000005</v>
      </c>
      <c r="K699">
        <v>3.08</v>
      </c>
      <c r="L699">
        <v>6.39</v>
      </c>
      <c r="M699">
        <v>12.3</v>
      </c>
      <c r="N699">
        <v>20.8</v>
      </c>
      <c r="O699">
        <v>17.72</v>
      </c>
      <c r="P699">
        <v>81.89</v>
      </c>
      <c r="Q699">
        <v>0.39</v>
      </c>
    </row>
    <row r="700" spans="1:17">
      <c r="A700">
        <v>1202.3</v>
      </c>
      <c r="B700">
        <v>1180.9000000000001</v>
      </c>
      <c r="C700">
        <v>783</v>
      </c>
      <c r="D700">
        <v>745</v>
      </c>
      <c r="E700" t="s">
        <v>66</v>
      </c>
      <c r="F700" t="b">
        <v>0</v>
      </c>
      <c r="G700" t="b">
        <v>0</v>
      </c>
      <c r="H700">
        <v>1.2</v>
      </c>
      <c r="I700" t="s">
        <v>159</v>
      </c>
      <c r="J700">
        <v>0.80100000000000005</v>
      </c>
      <c r="K700">
        <v>3.08</v>
      </c>
      <c r="L700">
        <v>6.39</v>
      </c>
      <c r="M700">
        <v>12.3</v>
      </c>
      <c r="N700">
        <v>20.8</v>
      </c>
      <c r="O700">
        <v>17.72</v>
      </c>
      <c r="P700">
        <v>81.89</v>
      </c>
      <c r="Q700">
        <v>0.39</v>
      </c>
    </row>
    <row r="701" spans="1:17">
      <c r="A701">
        <v>1203</v>
      </c>
      <c r="B701">
        <v>1181.5999999999999</v>
      </c>
      <c r="C701">
        <v>784</v>
      </c>
      <c r="D701">
        <v>746</v>
      </c>
      <c r="E701" t="s">
        <v>66</v>
      </c>
      <c r="F701" t="b">
        <v>0</v>
      </c>
      <c r="G701" t="b">
        <v>0</v>
      </c>
      <c r="H701">
        <v>0.7</v>
      </c>
      <c r="I701" t="s">
        <v>159</v>
      </c>
      <c r="J701">
        <v>0.80100000000000005</v>
      </c>
      <c r="K701">
        <v>3.08</v>
      </c>
      <c r="L701">
        <v>6.39</v>
      </c>
      <c r="M701">
        <v>12.3</v>
      </c>
      <c r="N701">
        <v>20.8</v>
      </c>
      <c r="O701">
        <v>17.72</v>
      </c>
      <c r="P701">
        <v>81.89</v>
      </c>
      <c r="Q701">
        <v>0.39</v>
      </c>
    </row>
    <row r="702" spans="1:17">
      <c r="A702">
        <v>1204.4000000000001</v>
      </c>
      <c r="B702">
        <v>1183.0999999999999</v>
      </c>
      <c r="C702">
        <v>785</v>
      </c>
      <c r="D702">
        <v>747</v>
      </c>
      <c r="E702" t="s">
        <v>66</v>
      </c>
      <c r="F702" t="b">
        <v>0</v>
      </c>
      <c r="G702" t="b">
        <v>0</v>
      </c>
      <c r="H702">
        <v>1.4</v>
      </c>
      <c r="I702" t="s">
        <v>159</v>
      </c>
      <c r="J702">
        <v>0.80100000000000005</v>
      </c>
      <c r="K702">
        <v>3.08</v>
      </c>
      <c r="L702">
        <v>6.39</v>
      </c>
      <c r="M702">
        <v>12.3</v>
      </c>
      <c r="N702">
        <v>20.8</v>
      </c>
      <c r="O702">
        <v>17.72</v>
      </c>
      <c r="P702">
        <v>81.89</v>
      </c>
      <c r="Q702">
        <v>0.39</v>
      </c>
    </row>
    <row r="703" spans="1:17">
      <c r="A703">
        <v>1217.9000000000001</v>
      </c>
      <c r="B703">
        <v>1196.5</v>
      </c>
      <c r="C703">
        <v>794</v>
      </c>
      <c r="D703">
        <v>759</v>
      </c>
      <c r="E703" t="s">
        <v>66</v>
      </c>
      <c r="F703" t="b">
        <v>0</v>
      </c>
      <c r="G703" t="b">
        <v>1</v>
      </c>
      <c r="H703">
        <v>13.5</v>
      </c>
      <c r="I703">
        <v>3.3980000000000001</v>
      </c>
      <c r="J703" t="s">
        <v>159</v>
      </c>
      <c r="K703" t="s">
        <v>159</v>
      </c>
      <c r="L703" t="s">
        <v>159</v>
      </c>
      <c r="M703" t="s">
        <v>159</v>
      </c>
      <c r="N703" t="s">
        <v>159</v>
      </c>
      <c r="O703" t="s">
        <v>159</v>
      </c>
      <c r="P703" t="s">
        <v>159</v>
      </c>
      <c r="Q703" t="s">
        <v>159</v>
      </c>
    </row>
    <row r="704" spans="1:17">
      <c r="A704">
        <v>1219.4000000000001</v>
      </c>
      <c r="B704">
        <v>1198</v>
      </c>
      <c r="C704">
        <v>795</v>
      </c>
      <c r="D704">
        <v>760</v>
      </c>
      <c r="E704" t="s">
        <v>66</v>
      </c>
      <c r="F704" t="b">
        <v>0</v>
      </c>
      <c r="G704" t="b">
        <v>0</v>
      </c>
      <c r="H704">
        <v>1.5</v>
      </c>
      <c r="I704">
        <v>3.3980000000000001</v>
      </c>
      <c r="J704" t="s">
        <v>159</v>
      </c>
      <c r="K704" t="s">
        <v>159</v>
      </c>
      <c r="L704" t="s">
        <v>159</v>
      </c>
      <c r="M704" t="s">
        <v>159</v>
      </c>
      <c r="N704" t="s">
        <v>159</v>
      </c>
      <c r="O704" t="s">
        <v>159</v>
      </c>
      <c r="P704" t="s">
        <v>159</v>
      </c>
      <c r="Q704" t="s">
        <v>159</v>
      </c>
    </row>
    <row r="705" spans="1:17">
      <c r="A705">
        <v>1220.2</v>
      </c>
      <c r="B705">
        <v>1198.9000000000001</v>
      </c>
      <c r="C705">
        <v>796</v>
      </c>
      <c r="D705">
        <v>761</v>
      </c>
      <c r="E705" t="s">
        <v>66</v>
      </c>
      <c r="F705" t="b">
        <v>0</v>
      </c>
      <c r="G705" t="b">
        <v>0</v>
      </c>
      <c r="H705">
        <v>0.8</v>
      </c>
      <c r="I705">
        <v>3.3980000000000001</v>
      </c>
      <c r="J705" t="s">
        <v>159</v>
      </c>
      <c r="K705" t="s">
        <v>159</v>
      </c>
      <c r="L705" t="s">
        <v>159</v>
      </c>
      <c r="M705" t="s">
        <v>159</v>
      </c>
      <c r="N705" t="s">
        <v>159</v>
      </c>
      <c r="O705" t="s">
        <v>159</v>
      </c>
      <c r="P705" t="s">
        <v>159</v>
      </c>
      <c r="Q705" t="s">
        <v>159</v>
      </c>
    </row>
    <row r="706" spans="1:17">
      <c r="A706">
        <v>1221.2</v>
      </c>
      <c r="B706">
        <v>1199.8</v>
      </c>
      <c r="C706">
        <v>797</v>
      </c>
      <c r="D706">
        <v>762</v>
      </c>
      <c r="E706" t="s">
        <v>66</v>
      </c>
      <c r="F706" t="b">
        <v>0</v>
      </c>
      <c r="G706" t="b">
        <v>0</v>
      </c>
      <c r="H706">
        <v>1</v>
      </c>
      <c r="I706">
        <v>3.3980000000000001</v>
      </c>
      <c r="J706" t="s">
        <v>159</v>
      </c>
      <c r="K706" t="s">
        <v>159</v>
      </c>
      <c r="L706" t="s">
        <v>159</v>
      </c>
      <c r="M706" t="s">
        <v>159</v>
      </c>
      <c r="N706" t="s">
        <v>159</v>
      </c>
      <c r="O706" t="s">
        <v>159</v>
      </c>
      <c r="P706" t="s">
        <v>159</v>
      </c>
      <c r="Q706" t="s">
        <v>159</v>
      </c>
    </row>
    <row r="707" spans="1:17">
      <c r="A707">
        <v>1222.4000000000001</v>
      </c>
      <c r="B707">
        <v>1201</v>
      </c>
      <c r="C707">
        <v>798</v>
      </c>
      <c r="D707">
        <v>763</v>
      </c>
      <c r="E707" t="s">
        <v>66</v>
      </c>
      <c r="F707" t="b">
        <v>0</v>
      </c>
      <c r="G707" t="b">
        <v>0</v>
      </c>
      <c r="H707">
        <v>1.2</v>
      </c>
      <c r="I707">
        <v>3.3980000000000001</v>
      </c>
      <c r="J707" t="s">
        <v>159</v>
      </c>
      <c r="K707" t="s">
        <v>159</v>
      </c>
      <c r="L707" t="s">
        <v>159</v>
      </c>
      <c r="M707" t="s">
        <v>159</v>
      </c>
      <c r="N707" t="s">
        <v>159</v>
      </c>
      <c r="O707" t="s">
        <v>159</v>
      </c>
      <c r="P707" t="s">
        <v>159</v>
      </c>
      <c r="Q707" t="s">
        <v>159</v>
      </c>
    </row>
    <row r="708" spans="1:17">
      <c r="A708">
        <v>1223</v>
      </c>
      <c r="B708">
        <v>1201.7</v>
      </c>
      <c r="C708">
        <v>798</v>
      </c>
      <c r="D708">
        <v>764</v>
      </c>
      <c r="E708" t="s">
        <v>66</v>
      </c>
      <c r="F708" t="b">
        <v>0</v>
      </c>
      <c r="G708" t="b">
        <v>0</v>
      </c>
      <c r="H708">
        <v>0.7</v>
      </c>
      <c r="I708">
        <v>3.3980000000000001</v>
      </c>
      <c r="J708" t="s">
        <v>159</v>
      </c>
      <c r="K708" t="s">
        <v>159</v>
      </c>
      <c r="L708" t="s">
        <v>159</v>
      </c>
      <c r="M708" t="s">
        <v>159</v>
      </c>
      <c r="N708" t="s">
        <v>159</v>
      </c>
      <c r="O708" t="s">
        <v>159</v>
      </c>
      <c r="P708" t="s">
        <v>159</v>
      </c>
      <c r="Q708" t="s">
        <v>159</v>
      </c>
    </row>
    <row r="709" spans="1:17">
      <c r="A709">
        <v>1224.0999999999999</v>
      </c>
      <c r="B709">
        <v>1202.8</v>
      </c>
      <c r="C709">
        <v>799</v>
      </c>
      <c r="D709">
        <v>765</v>
      </c>
      <c r="E709" t="s">
        <v>66</v>
      </c>
      <c r="F709" t="b">
        <v>0</v>
      </c>
      <c r="G709" t="b">
        <v>0</v>
      </c>
      <c r="H709">
        <v>1.1000000000000001</v>
      </c>
      <c r="I709">
        <v>3.3980000000000001</v>
      </c>
      <c r="J709" t="s">
        <v>159</v>
      </c>
      <c r="K709" t="s">
        <v>159</v>
      </c>
      <c r="L709" t="s">
        <v>159</v>
      </c>
      <c r="M709" t="s">
        <v>159</v>
      </c>
      <c r="N709" t="s">
        <v>159</v>
      </c>
      <c r="O709" t="s">
        <v>159</v>
      </c>
      <c r="P709" t="s">
        <v>159</v>
      </c>
      <c r="Q709" t="s">
        <v>159</v>
      </c>
    </row>
    <row r="710" spans="1:17">
      <c r="A710">
        <v>1225.8</v>
      </c>
      <c r="B710">
        <v>1204.4000000000001</v>
      </c>
      <c r="C710">
        <v>800</v>
      </c>
      <c r="D710">
        <v>766</v>
      </c>
      <c r="E710" t="s">
        <v>66</v>
      </c>
      <c r="F710" t="b">
        <v>0</v>
      </c>
      <c r="G710" t="b">
        <v>0</v>
      </c>
      <c r="H710">
        <v>1.7</v>
      </c>
      <c r="I710">
        <v>3.3980000000000001</v>
      </c>
      <c r="J710" t="s">
        <v>159</v>
      </c>
      <c r="K710" t="s">
        <v>159</v>
      </c>
      <c r="L710" t="s">
        <v>159</v>
      </c>
      <c r="M710" t="s">
        <v>159</v>
      </c>
      <c r="N710" t="s">
        <v>159</v>
      </c>
      <c r="O710" t="s">
        <v>159</v>
      </c>
      <c r="P710" t="s">
        <v>159</v>
      </c>
      <c r="Q710" t="s">
        <v>159</v>
      </c>
    </row>
    <row r="711" spans="1:17">
      <c r="A711">
        <v>1226.5</v>
      </c>
      <c r="B711">
        <v>1205.2</v>
      </c>
      <c r="C711">
        <v>801</v>
      </c>
      <c r="D711">
        <v>767</v>
      </c>
      <c r="E711" t="s">
        <v>66</v>
      </c>
      <c r="F711" t="b">
        <v>0</v>
      </c>
      <c r="G711" t="b">
        <v>0</v>
      </c>
      <c r="H711">
        <v>0.7</v>
      </c>
      <c r="I711">
        <v>3.3980000000000001</v>
      </c>
      <c r="J711" t="s">
        <v>159</v>
      </c>
      <c r="K711" t="s">
        <v>159</v>
      </c>
      <c r="L711" t="s">
        <v>159</v>
      </c>
      <c r="M711" t="s">
        <v>159</v>
      </c>
      <c r="N711" t="s">
        <v>159</v>
      </c>
      <c r="O711" t="s">
        <v>159</v>
      </c>
      <c r="P711" t="s">
        <v>159</v>
      </c>
      <c r="Q711" t="s">
        <v>159</v>
      </c>
    </row>
    <row r="712" spans="1:17">
      <c r="A712">
        <v>1227.5</v>
      </c>
      <c r="B712">
        <v>1206.2</v>
      </c>
      <c r="C712">
        <v>801</v>
      </c>
      <c r="D712">
        <v>768</v>
      </c>
      <c r="E712" t="s">
        <v>66</v>
      </c>
      <c r="F712" t="b">
        <v>0</v>
      </c>
      <c r="G712" t="b">
        <v>0</v>
      </c>
      <c r="H712">
        <v>1</v>
      </c>
      <c r="I712">
        <v>3.3980000000000001</v>
      </c>
      <c r="J712" t="s">
        <v>159</v>
      </c>
      <c r="K712" t="s">
        <v>159</v>
      </c>
      <c r="L712" t="s">
        <v>159</v>
      </c>
      <c r="M712" t="s">
        <v>159</v>
      </c>
      <c r="N712" t="s">
        <v>159</v>
      </c>
      <c r="O712" t="s">
        <v>159</v>
      </c>
      <c r="P712" t="s">
        <v>159</v>
      </c>
      <c r="Q712" t="s">
        <v>159</v>
      </c>
    </row>
    <row r="713" spans="1:17">
      <c r="A713">
        <v>1228.8</v>
      </c>
      <c r="B713">
        <v>1207.4000000000001</v>
      </c>
      <c r="C713">
        <v>802</v>
      </c>
      <c r="D713">
        <v>769</v>
      </c>
      <c r="E713" t="s">
        <v>66</v>
      </c>
      <c r="F713" t="b">
        <v>0</v>
      </c>
      <c r="G713" t="b">
        <v>0</v>
      </c>
      <c r="H713">
        <v>1.3</v>
      </c>
      <c r="I713">
        <v>3.3980000000000001</v>
      </c>
      <c r="J713" t="s">
        <v>159</v>
      </c>
      <c r="K713" t="s">
        <v>159</v>
      </c>
      <c r="L713" t="s">
        <v>159</v>
      </c>
      <c r="M713" t="s">
        <v>159</v>
      </c>
      <c r="N713" t="s">
        <v>159</v>
      </c>
      <c r="O713" t="s">
        <v>159</v>
      </c>
      <c r="P713" t="s">
        <v>159</v>
      </c>
      <c r="Q713" t="s">
        <v>159</v>
      </c>
    </row>
    <row r="714" spans="1:17">
      <c r="A714">
        <v>1230.2</v>
      </c>
      <c r="B714">
        <v>1208.9000000000001</v>
      </c>
      <c r="C714">
        <v>803</v>
      </c>
      <c r="D714">
        <v>770</v>
      </c>
      <c r="E714" t="s">
        <v>66</v>
      </c>
      <c r="F714" t="b">
        <v>0</v>
      </c>
      <c r="G714" t="b">
        <v>0</v>
      </c>
      <c r="H714">
        <v>1.4</v>
      </c>
      <c r="I714">
        <v>3.3980000000000001</v>
      </c>
      <c r="J714" t="s">
        <v>159</v>
      </c>
      <c r="K714" t="s">
        <v>159</v>
      </c>
      <c r="L714" t="s">
        <v>159</v>
      </c>
      <c r="M714" t="s">
        <v>159</v>
      </c>
      <c r="N714" t="s">
        <v>159</v>
      </c>
      <c r="O714" t="s">
        <v>159</v>
      </c>
      <c r="P714" t="s">
        <v>159</v>
      </c>
      <c r="Q714" t="s">
        <v>159</v>
      </c>
    </row>
    <row r="715" spans="1:17">
      <c r="A715">
        <v>1232</v>
      </c>
      <c r="B715">
        <v>1210.5999999999999</v>
      </c>
      <c r="C715">
        <v>804</v>
      </c>
      <c r="D715">
        <v>771</v>
      </c>
      <c r="E715" t="s">
        <v>66</v>
      </c>
      <c r="F715" t="b">
        <v>0</v>
      </c>
      <c r="G715" t="b">
        <v>0</v>
      </c>
      <c r="H715">
        <v>1.8</v>
      </c>
      <c r="I715" t="s">
        <v>159</v>
      </c>
      <c r="J715" t="s">
        <v>159</v>
      </c>
      <c r="K715" t="s">
        <v>159</v>
      </c>
      <c r="L715" t="s">
        <v>159</v>
      </c>
      <c r="M715" t="s">
        <v>159</v>
      </c>
      <c r="N715" t="s">
        <v>159</v>
      </c>
      <c r="O715" t="s">
        <v>159</v>
      </c>
      <c r="P715" t="s">
        <v>159</v>
      </c>
      <c r="Q715" t="s">
        <v>159</v>
      </c>
    </row>
    <row r="716" spans="1:17">
      <c r="A716">
        <v>1233.2</v>
      </c>
      <c r="B716">
        <v>1211.9000000000001</v>
      </c>
      <c r="C716">
        <v>805</v>
      </c>
      <c r="D716">
        <v>772</v>
      </c>
      <c r="E716" t="s">
        <v>66</v>
      </c>
      <c r="F716" t="b">
        <v>0</v>
      </c>
      <c r="G716" t="b">
        <v>0</v>
      </c>
      <c r="H716">
        <v>1.2</v>
      </c>
      <c r="I716" t="s">
        <v>159</v>
      </c>
      <c r="J716" t="s">
        <v>159</v>
      </c>
      <c r="K716" t="s">
        <v>159</v>
      </c>
      <c r="L716" t="s">
        <v>159</v>
      </c>
      <c r="M716" t="s">
        <v>159</v>
      </c>
      <c r="N716" t="s">
        <v>159</v>
      </c>
      <c r="O716" t="s">
        <v>159</v>
      </c>
      <c r="P716" t="s">
        <v>159</v>
      </c>
      <c r="Q716" t="s">
        <v>159</v>
      </c>
    </row>
    <row r="717" spans="1:17">
      <c r="A717">
        <v>1234.4000000000001</v>
      </c>
      <c r="B717">
        <v>1213</v>
      </c>
      <c r="C717">
        <v>806</v>
      </c>
      <c r="D717">
        <v>773</v>
      </c>
      <c r="E717" t="s">
        <v>66</v>
      </c>
      <c r="F717" t="b">
        <v>0</v>
      </c>
      <c r="G717" t="b">
        <v>0</v>
      </c>
      <c r="H717">
        <v>1.2</v>
      </c>
      <c r="I717" t="s">
        <v>159</v>
      </c>
      <c r="J717" t="s">
        <v>159</v>
      </c>
      <c r="K717" t="s">
        <v>159</v>
      </c>
      <c r="L717" t="s">
        <v>159</v>
      </c>
      <c r="M717" t="s">
        <v>159</v>
      </c>
      <c r="N717" t="s">
        <v>159</v>
      </c>
      <c r="O717" t="s">
        <v>159</v>
      </c>
      <c r="P717" t="s">
        <v>159</v>
      </c>
      <c r="Q717" t="s">
        <v>159</v>
      </c>
    </row>
    <row r="718" spans="1:17">
      <c r="A718">
        <v>1235.7</v>
      </c>
      <c r="B718">
        <v>1214.3</v>
      </c>
      <c r="C718">
        <v>807</v>
      </c>
      <c r="D718">
        <v>774</v>
      </c>
      <c r="E718" t="s">
        <v>66</v>
      </c>
      <c r="F718" t="b">
        <v>0</v>
      </c>
      <c r="G718" t="b">
        <v>0</v>
      </c>
      <c r="H718">
        <v>1.3</v>
      </c>
      <c r="I718" t="s">
        <v>159</v>
      </c>
      <c r="J718" t="s">
        <v>159</v>
      </c>
      <c r="K718" t="s">
        <v>159</v>
      </c>
      <c r="L718" t="s">
        <v>159</v>
      </c>
      <c r="M718" t="s">
        <v>159</v>
      </c>
      <c r="N718" t="s">
        <v>159</v>
      </c>
      <c r="O718" t="s">
        <v>159</v>
      </c>
      <c r="P718" t="s">
        <v>159</v>
      </c>
      <c r="Q718" t="s">
        <v>159</v>
      </c>
    </row>
    <row r="719" spans="1:17">
      <c r="A719">
        <v>1237.3</v>
      </c>
      <c r="B719">
        <v>1216</v>
      </c>
      <c r="C719">
        <v>808</v>
      </c>
      <c r="D719">
        <v>775</v>
      </c>
      <c r="E719" t="s">
        <v>66</v>
      </c>
      <c r="F719" t="b">
        <v>0</v>
      </c>
      <c r="G719" t="b">
        <v>0</v>
      </c>
      <c r="H719">
        <v>1.6</v>
      </c>
      <c r="I719" t="s">
        <v>159</v>
      </c>
      <c r="J719" t="s">
        <v>159</v>
      </c>
      <c r="K719" t="s">
        <v>159</v>
      </c>
      <c r="L719" t="s">
        <v>159</v>
      </c>
      <c r="M719" t="s">
        <v>159</v>
      </c>
      <c r="N719" t="s">
        <v>159</v>
      </c>
      <c r="O719" t="s">
        <v>159</v>
      </c>
      <c r="P719" t="s">
        <v>159</v>
      </c>
      <c r="Q719" t="s">
        <v>159</v>
      </c>
    </row>
    <row r="720" spans="1:17">
      <c r="A720">
        <v>1238.8</v>
      </c>
      <c r="B720">
        <v>1217.4000000000001</v>
      </c>
      <c r="C720">
        <v>809</v>
      </c>
      <c r="D720">
        <v>776</v>
      </c>
      <c r="E720" t="s">
        <v>66</v>
      </c>
      <c r="F720" t="b">
        <v>0</v>
      </c>
      <c r="G720" t="b">
        <v>0</v>
      </c>
      <c r="H720">
        <v>1.5</v>
      </c>
      <c r="I720" t="s">
        <v>159</v>
      </c>
      <c r="J720" t="s">
        <v>159</v>
      </c>
      <c r="K720" t="s">
        <v>159</v>
      </c>
      <c r="L720" t="s">
        <v>159</v>
      </c>
      <c r="M720" t="s">
        <v>159</v>
      </c>
      <c r="N720" t="s">
        <v>159</v>
      </c>
      <c r="O720" t="s">
        <v>159</v>
      </c>
      <c r="P720" t="s">
        <v>159</v>
      </c>
      <c r="Q720" t="s">
        <v>159</v>
      </c>
    </row>
    <row r="721" spans="1:17">
      <c r="A721">
        <v>1240.2</v>
      </c>
      <c r="B721">
        <v>1218.8</v>
      </c>
      <c r="C721">
        <v>810</v>
      </c>
      <c r="D721">
        <v>777</v>
      </c>
      <c r="E721" t="s">
        <v>66</v>
      </c>
      <c r="F721" t="b">
        <v>0</v>
      </c>
      <c r="G721" t="b">
        <v>0</v>
      </c>
      <c r="H721">
        <v>1.4</v>
      </c>
      <c r="I721" t="s">
        <v>159</v>
      </c>
      <c r="J721" t="s">
        <v>159</v>
      </c>
      <c r="K721" t="s">
        <v>159</v>
      </c>
      <c r="L721" t="s">
        <v>159</v>
      </c>
      <c r="M721" t="s">
        <v>159</v>
      </c>
      <c r="N721" t="s">
        <v>159</v>
      </c>
      <c r="O721" t="s">
        <v>159</v>
      </c>
      <c r="P721" t="s">
        <v>159</v>
      </c>
      <c r="Q721" t="s">
        <v>159</v>
      </c>
    </row>
    <row r="722" spans="1:17">
      <c r="A722">
        <v>1245.5</v>
      </c>
      <c r="B722">
        <v>1224.0999999999999</v>
      </c>
      <c r="C722">
        <v>814</v>
      </c>
      <c r="D722">
        <v>781</v>
      </c>
      <c r="E722" t="s">
        <v>66</v>
      </c>
      <c r="F722" t="b">
        <v>0</v>
      </c>
      <c r="G722" t="b">
        <v>1</v>
      </c>
      <c r="H722">
        <v>5.3</v>
      </c>
      <c r="I722" t="s">
        <v>159</v>
      </c>
      <c r="J722">
        <v>0.69099999999999995</v>
      </c>
      <c r="K722">
        <v>2.41</v>
      </c>
      <c r="L722">
        <v>5.57</v>
      </c>
      <c r="M722">
        <v>11.1</v>
      </c>
      <c r="N722">
        <v>19.399999999999999</v>
      </c>
      <c r="O722">
        <v>22.32</v>
      </c>
      <c r="P722">
        <v>77.56</v>
      </c>
      <c r="Q722">
        <v>0.12</v>
      </c>
    </row>
    <row r="723" spans="1:17">
      <c r="A723">
        <v>1246.4000000000001</v>
      </c>
      <c r="B723">
        <v>1225</v>
      </c>
      <c r="C723">
        <v>815</v>
      </c>
      <c r="D723">
        <v>782</v>
      </c>
      <c r="E723" t="s">
        <v>66</v>
      </c>
      <c r="F723" t="b">
        <v>0</v>
      </c>
      <c r="G723" t="b">
        <v>0</v>
      </c>
      <c r="H723">
        <v>0.9</v>
      </c>
      <c r="I723" t="s">
        <v>159</v>
      </c>
      <c r="J723">
        <v>0.69099999999999995</v>
      </c>
      <c r="K723">
        <v>2.41</v>
      </c>
      <c r="L723">
        <v>5.57</v>
      </c>
      <c r="M723">
        <v>11.1</v>
      </c>
      <c r="N723">
        <v>19.399999999999999</v>
      </c>
      <c r="O723">
        <v>22.32</v>
      </c>
      <c r="P723">
        <v>77.56</v>
      </c>
      <c r="Q723">
        <v>0.12</v>
      </c>
    </row>
    <row r="724" spans="1:17">
      <c r="A724">
        <v>1247.3</v>
      </c>
      <c r="B724">
        <v>1225.9000000000001</v>
      </c>
      <c r="C724">
        <v>815</v>
      </c>
      <c r="D724">
        <v>783</v>
      </c>
      <c r="E724" t="s">
        <v>66</v>
      </c>
      <c r="F724" t="b">
        <v>0</v>
      </c>
      <c r="G724" t="b">
        <v>0</v>
      </c>
      <c r="H724">
        <v>0.9</v>
      </c>
      <c r="I724" t="s">
        <v>159</v>
      </c>
      <c r="J724">
        <v>0.69099999999999995</v>
      </c>
      <c r="K724">
        <v>2.41</v>
      </c>
      <c r="L724">
        <v>5.57</v>
      </c>
      <c r="M724">
        <v>11.1</v>
      </c>
      <c r="N724">
        <v>19.399999999999999</v>
      </c>
      <c r="O724">
        <v>22.32</v>
      </c>
      <c r="P724">
        <v>77.56</v>
      </c>
      <c r="Q724">
        <v>0.12</v>
      </c>
    </row>
    <row r="725" spans="1:17">
      <c r="A725">
        <v>1248.5999999999999</v>
      </c>
      <c r="B725">
        <v>1227.2</v>
      </c>
      <c r="C725">
        <v>816</v>
      </c>
      <c r="D725">
        <v>784</v>
      </c>
      <c r="E725" t="s">
        <v>66</v>
      </c>
      <c r="F725" t="b">
        <v>0</v>
      </c>
      <c r="G725" t="b">
        <v>0</v>
      </c>
      <c r="H725">
        <v>1.3</v>
      </c>
      <c r="I725" t="s">
        <v>159</v>
      </c>
      <c r="J725">
        <v>0.69099999999999995</v>
      </c>
      <c r="K725">
        <v>2.41</v>
      </c>
      <c r="L725">
        <v>5.57</v>
      </c>
      <c r="M725">
        <v>11.1</v>
      </c>
      <c r="N725">
        <v>19.399999999999999</v>
      </c>
      <c r="O725">
        <v>22.32</v>
      </c>
      <c r="P725">
        <v>77.56</v>
      </c>
      <c r="Q725">
        <v>0.12</v>
      </c>
    </row>
    <row r="726" spans="1:17">
      <c r="A726">
        <v>1249.8</v>
      </c>
      <c r="B726">
        <v>1228.4000000000001</v>
      </c>
      <c r="C726">
        <v>817</v>
      </c>
      <c r="D726">
        <v>785</v>
      </c>
      <c r="E726" t="s">
        <v>66</v>
      </c>
      <c r="F726" t="b">
        <v>0</v>
      </c>
      <c r="G726" t="b">
        <v>0</v>
      </c>
      <c r="H726">
        <v>1.2</v>
      </c>
      <c r="I726" t="s">
        <v>159</v>
      </c>
      <c r="J726">
        <v>0.69099999999999995</v>
      </c>
      <c r="K726">
        <v>2.41</v>
      </c>
      <c r="L726">
        <v>5.57</v>
      </c>
      <c r="M726">
        <v>11.1</v>
      </c>
      <c r="N726">
        <v>19.399999999999999</v>
      </c>
      <c r="O726">
        <v>22.32</v>
      </c>
      <c r="P726">
        <v>77.56</v>
      </c>
      <c r="Q726">
        <v>0.12</v>
      </c>
    </row>
    <row r="727" spans="1:17">
      <c r="A727">
        <v>1251.3</v>
      </c>
      <c r="B727">
        <v>1229.9000000000001</v>
      </c>
      <c r="C727">
        <v>818</v>
      </c>
      <c r="D727">
        <v>786</v>
      </c>
      <c r="E727" t="s">
        <v>66</v>
      </c>
      <c r="F727" t="b">
        <v>0</v>
      </c>
      <c r="G727" t="b">
        <v>0</v>
      </c>
      <c r="H727">
        <v>1.5</v>
      </c>
      <c r="I727" t="s">
        <v>159</v>
      </c>
      <c r="J727">
        <v>0.69099999999999995</v>
      </c>
      <c r="K727">
        <v>2.41</v>
      </c>
      <c r="L727">
        <v>5.57</v>
      </c>
      <c r="M727">
        <v>11.1</v>
      </c>
      <c r="N727">
        <v>19.399999999999999</v>
      </c>
      <c r="O727">
        <v>22.32</v>
      </c>
      <c r="P727">
        <v>77.56</v>
      </c>
      <c r="Q727">
        <v>0.12</v>
      </c>
    </row>
    <row r="728" spans="1:17">
      <c r="A728">
        <v>1252.7</v>
      </c>
      <c r="B728">
        <v>1231.3</v>
      </c>
      <c r="C728">
        <v>819</v>
      </c>
      <c r="D728">
        <v>787</v>
      </c>
      <c r="E728" t="s">
        <v>66</v>
      </c>
      <c r="F728" t="b">
        <v>0</v>
      </c>
      <c r="G728" t="b">
        <v>0</v>
      </c>
      <c r="H728">
        <v>1.4</v>
      </c>
      <c r="I728" t="s">
        <v>159</v>
      </c>
      <c r="J728">
        <v>0.69099999999999995</v>
      </c>
      <c r="K728">
        <v>2.41</v>
      </c>
      <c r="L728">
        <v>5.57</v>
      </c>
      <c r="M728">
        <v>11.1</v>
      </c>
      <c r="N728">
        <v>19.399999999999999</v>
      </c>
      <c r="O728">
        <v>22.32</v>
      </c>
      <c r="P728">
        <v>77.56</v>
      </c>
      <c r="Q728">
        <v>0.12</v>
      </c>
    </row>
    <row r="729" spans="1:17">
      <c r="A729">
        <v>1254.0999999999999</v>
      </c>
      <c r="B729">
        <v>1232.7</v>
      </c>
      <c r="C729">
        <v>820</v>
      </c>
      <c r="D729">
        <v>788</v>
      </c>
      <c r="E729" t="s">
        <v>66</v>
      </c>
      <c r="F729" t="b">
        <v>0</v>
      </c>
      <c r="G729" t="b">
        <v>0</v>
      </c>
      <c r="H729">
        <v>1.4</v>
      </c>
      <c r="I729" t="s">
        <v>159</v>
      </c>
      <c r="J729">
        <v>0.69099999999999995</v>
      </c>
      <c r="K729">
        <v>2.41</v>
      </c>
      <c r="L729">
        <v>5.57</v>
      </c>
      <c r="M729">
        <v>11.1</v>
      </c>
      <c r="N729">
        <v>19.399999999999999</v>
      </c>
      <c r="O729">
        <v>22.32</v>
      </c>
      <c r="P729">
        <v>77.56</v>
      </c>
      <c r="Q729">
        <v>0.12</v>
      </c>
    </row>
    <row r="730" spans="1:17">
      <c r="A730">
        <v>1255.8</v>
      </c>
      <c r="B730">
        <v>1234.4000000000001</v>
      </c>
      <c r="C730">
        <v>822</v>
      </c>
      <c r="D730">
        <v>789</v>
      </c>
      <c r="E730" t="s">
        <v>66</v>
      </c>
      <c r="F730" t="b">
        <v>0</v>
      </c>
      <c r="G730" t="b">
        <v>0</v>
      </c>
      <c r="H730">
        <v>1.7</v>
      </c>
      <c r="I730" t="s">
        <v>159</v>
      </c>
      <c r="J730">
        <v>0.69099999999999995</v>
      </c>
      <c r="K730">
        <v>2.41</v>
      </c>
      <c r="L730">
        <v>5.57</v>
      </c>
      <c r="M730">
        <v>11.1</v>
      </c>
      <c r="N730">
        <v>19.399999999999999</v>
      </c>
      <c r="O730">
        <v>22.32</v>
      </c>
      <c r="P730">
        <v>77.56</v>
      </c>
      <c r="Q730">
        <v>0.12</v>
      </c>
    </row>
    <row r="731" spans="1:17">
      <c r="A731">
        <v>1257.5999999999999</v>
      </c>
      <c r="B731">
        <v>1236.2</v>
      </c>
      <c r="C731">
        <v>823</v>
      </c>
      <c r="D731">
        <v>790</v>
      </c>
      <c r="E731" t="s">
        <v>66</v>
      </c>
      <c r="F731" t="b">
        <v>0</v>
      </c>
      <c r="G731" t="b">
        <v>0</v>
      </c>
      <c r="H731">
        <v>1.7</v>
      </c>
      <c r="I731" t="s">
        <v>159</v>
      </c>
      <c r="J731">
        <v>0.69099999999999995</v>
      </c>
      <c r="K731">
        <v>2.41</v>
      </c>
      <c r="L731">
        <v>5.57</v>
      </c>
      <c r="M731">
        <v>11.1</v>
      </c>
      <c r="N731">
        <v>19.399999999999999</v>
      </c>
      <c r="O731">
        <v>22.32</v>
      </c>
      <c r="P731">
        <v>77.56</v>
      </c>
      <c r="Q731">
        <v>0.12</v>
      </c>
    </row>
    <row r="732" spans="1:17">
      <c r="A732">
        <v>1268.5999999999999</v>
      </c>
      <c r="B732">
        <v>1247.3</v>
      </c>
      <c r="C732">
        <v>831</v>
      </c>
      <c r="D732">
        <v>799</v>
      </c>
      <c r="E732" t="s">
        <v>66</v>
      </c>
      <c r="F732" t="b">
        <v>0</v>
      </c>
      <c r="G732" t="b">
        <v>1</v>
      </c>
      <c r="H732">
        <v>11.1</v>
      </c>
      <c r="I732">
        <v>4.923</v>
      </c>
      <c r="J732" t="s">
        <v>159</v>
      </c>
      <c r="K732" t="s">
        <v>159</v>
      </c>
      <c r="L732" t="s">
        <v>159</v>
      </c>
      <c r="M732" t="s">
        <v>159</v>
      </c>
      <c r="N732" t="s">
        <v>159</v>
      </c>
      <c r="O732" t="s">
        <v>159</v>
      </c>
      <c r="P732" t="s">
        <v>159</v>
      </c>
      <c r="Q732" t="s">
        <v>159</v>
      </c>
    </row>
    <row r="733" spans="1:17">
      <c r="A733">
        <v>1269.8</v>
      </c>
      <c r="B733">
        <v>1248.4000000000001</v>
      </c>
      <c r="C733">
        <v>832</v>
      </c>
      <c r="D733">
        <v>800</v>
      </c>
      <c r="E733" t="s">
        <v>66</v>
      </c>
      <c r="F733" t="b">
        <v>0</v>
      </c>
      <c r="G733" t="b">
        <v>0</v>
      </c>
      <c r="H733">
        <v>1.2</v>
      </c>
      <c r="I733">
        <v>4.923</v>
      </c>
      <c r="J733" t="s">
        <v>159</v>
      </c>
      <c r="K733" t="s">
        <v>159</v>
      </c>
      <c r="L733" t="s">
        <v>159</v>
      </c>
      <c r="M733" t="s">
        <v>159</v>
      </c>
      <c r="N733" t="s">
        <v>159</v>
      </c>
      <c r="O733" t="s">
        <v>159</v>
      </c>
      <c r="P733" t="s">
        <v>159</v>
      </c>
      <c r="Q733" t="s">
        <v>159</v>
      </c>
    </row>
    <row r="734" spans="1:17">
      <c r="A734">
        <v>1271.5999999999999</v>
      </c>
      <c r="B734">
        <v>1250.2</v>
      </c>
      <c r="C734">
        <v>833</v>
      </c>
      <c r="D734">
        <v>801</v>
      </c>
      <c r="E734" t="s">
        <v>66</v>
      </c>
      <c r="F734" t="b">
        <v>0</v>
      </c>
      <c r="G734" t="b">
        <v>0</v>
      </c>
      <c r="H734">
        <v>1.8</v>
      </c>
      <c r="I734">
        <v>4.923</v>
      </c>
      <c r="J734" t="s">
        <v>159</v>
      </c>
      <c r="K734" t="s">
        <v>159</v>
      </c>
      <c r="L734" t="s">
        <v>159</v>
      </c>
      <c r="M734" t="s">
        <v>159</v>
      </c>
      <c r="N734" t="s">
        <v>159</v>
      </c>
      <c r="O734" t="s">
        <v>159</v>
      </c>
      <c r="P734" t="s">
        <v>159</v>
      </c>
      <c r="Q734" t="s">
        <v>159</v>
      </c>
    </row>
    <row r="735" spans="1:17">
      <c r="A735">
        <v>1272.7</v>
      </c>
      <c r="B735">
        <v>1251.4000000000001</v>
      </c>
      <c r="C735">
        <v>834</v>
      </c>
      <c r="D735">
        <v>802</v>
      </c>
      <c r="E735" t="s">
        <v>66</v>
      </c>
      <c r="F735" t="b">
        <v>0</v>
      </c>
      <c r="G735" t="b">
        <v>0</v>
      </c>
      <c r="H735">
        <v>1.2</v>
      </c>
      <c r="I735">
        <v>4.923</v>
      </c>
      <c r="J735" t="s">
        <v>159</v>
      </c>
      <c r="K735" t="s">
        <v>159</v>
      </c>
      <c r="L735" t="s">
        <v>159</v>
      </c>
      <c r="M735" t="s">
        <v>159</v>
      </c>
      <c r="N735" t="s">
        <v>159</v>
      </c>
      <c r="O735" t="s">
        <v>159</v>
      </c>
      <c r="P735" t="s">
        <v>159</v>
      </c>
      <c r="Q735" t="s">
        <v>159</v>
      </c>
    </row>
    <row r="736" spans="1:17">
      <c r="A736">
        <v>1274.9000000000001</v>
      </c>
      <c r="B736">
        <v>1253.5999999999999</v>
      </c>
      <c r="C736">
        <v>835</v>
      </c>
      <c r="D736">
        <v>803</v>
      </c>
      <c r="E736" t="s">
        <v>66</v>
      </c>
      <c r="F736" t="b">
        <v>0</v>
      </c>
      <c r="G736" t="b">
        <v>0</v>
      </c>
      <c r="H736">
        <v>2.2000000000000002</v>
      </c>
      <c r="I736">
        <v>4.923</v>
      </c>
      <c r="J736" t="s">
        <v>159</v>
      </c>
      <c r="K736" t="s">
        <v>159</v>
      </c>
      <c r="L736" t="s">
        <v>159</v>
      </c>
      <c r="M736" t="s">
        <v>159</v>
      </c>
      <c r="N736" t="s">
        <v>159</v>
      </c>
      <c r="O736" t="s">
        <v>159</v>
      </c>
      <c r="P736" t="s">
        <v>159</v>
      </c>
      <c r="Q736" t="s">
        <v>159</v>
      </c>
    </row>
    <row r="737" spans="1:17">
      <c r="A737">
        <v>1275.7</v>
      </c>
      <c r="B737">
        <v>1254.4000000000001</v>
      </c>
      <c r="C737">
        <v>836</v>
      </c>
      <c r="D737">
        <v>804</v>
      </c>
      <c r="E737" t="s">
        <v>66</v>
      </c>
      <c r="F737" t="b">
        <v>0</v>
      </c>
      <c r="G737" t="b">
        <v>0</v>
      </c>
      <c r="H737">
        <v>0.8</v>
      </c>
      <c r="I737">
        <v>4.923</v>
      </c>
      <c r="J737" t="s">
        <v>159</v>
      </c>
      <c r="K737" t="s">
        <v>159</v>
      </c>
      <c r="L737" t="s">
        <v>159</v>
      </c>
      <c r="M737" t="s">
        <v>159</v>
      </c>
      <c r="N737" t="s">
        <v>159</v>
      </c>
      <c r="O737" t="s">
        <v>159</v>
      </c>
      <c r="P737" t="s">
        <v>159</v>
      </c>
      <c r="Q737" t="s">
        <v>159</v>
      </c>
    </row>
    <row r="738" spans="1:17">
      <c r="A738">
        <v>1276.9000000000001</v>
      </c>
      <c r="B738">
        <v>1255.5999999999999</v>
      </c>
      <c r="C738">
        <v>837</v>
      </c>
      <c r="D738">
        <v>805</v>
      </c>
      <c r="E738" t="s">
        <v>66</v>
      </c>
      <c r="F738" t="b">
        <v>0</v>
      </c>
      <c r="G738" t="b">
        <v>0</v>
      </c>
      <c r="H738">
        <v>1.2</v>
      </c>
      <c r="I738">
        <v>4.923</v>
      </c>
      <c r="J738" t="s">
        <v>159</v>
      </c>
      <c r="K738" t="s">
        <v>159</v>
      </c>
      <c r="L738" t="s">
        <v>159</v>
      </c>
      <c r="M738" t="s">
        <v>159</v>
      </c>
      <c r="N738" t="s">
        <v>159</v>
      </c>
      <c r="O738" t="s">
        <v>159</v>
      </c>
      <c r="P738" t="s">
        <v>159</v>
      </c>
      <c r="Q738" t="s">
        <v>159</v>
      </c>
    </row>
    <row r="739" spans="1:17">
      <c r="A739">
        <v>1277.3</v>
      </c>
      <c r="B739">
        <v>1255.9000000000001</v>
      </c>
      <c r="C739">
        <v>837</v>
      </c>
      <c r="D739">
        <v>806</v>
      </c>
      <c r="E739" t="s">
        <v>66</v>
      </c>
      <c r="F739" t="b">
        <v>0</v>
      </c>
      <c r="G739" t="b">
        <v>0</v>
      </c>
      <c r="H739">
        <v>0.4</v>
      </c>
      <c r="I739">
        <v>4.923</v>
      </c>
      <c r="J739" t="s">
        <v>159</v>
      </c>
      <c r="K739" t="s">
        <v>159</v>
      </c>
      <c r="L739" t="s">
        <v>159</v>
      </c>
      <c r="M739" t="s">
        <v>159</v>
      </c>
      <c r="N739" t="s">
        <v>159</v>
      </c>
      <c r="O739" t="s">
        <v>159</v>
      </c>
      <c r="P739" t="s">
        <v>159</v>
      </c>
      <c r="Q739" t="s">
        <v>159</v>
      </c>
    </row>
    <row r="740" spans="1:17">
      <c r="A740">
        <v>1277.5999999999999</v>
      </c>
      <c r="B740">
        <v>1256.3</v>
      </c>
      <c r="C740">
        <v>837</v>
      </c>
      <c r="D740">
        <v>807</v>
      </c>
      <c r="E740" t="s">
        <v>66</v>
      </c>
      <c r="F740" t="b">
        <v>0</v>
      </c>
      <c r="G740" t="b">
        <v>0</v>
      </c>
      <c r="H740">
        <v>0.3</v>
      </c>
      <c r="I740">
        <v>4.923</v>
      </c>
      <c r="J740" t="s">
        <v>159</v>
      </c>
      <c r="K740" t="s">
        <v>159</v>
      </c>
      <c r="L740" t="s">
        <v>159</v>
      </c>
      <c r="M740" t="s">
        <v>159</v>
      </c>
      <c r="N740" t="s">
        <v>159</v>
      </c>
      <c r="O740" t="s">
        <v>159</v>
      </c>
      <c r="P740" t="s">
        <v>159</v>
      </c>
      <c r="Q740" t="s">
        <v>159</v>
      </c>
    </row>
    <row r="741" spans="1:17">
      <c r="A741">
        <v>1278.9000000000001</v>
      </c>
      <c r="B741">
        <v>1257.5</v>
      </c>
      <c r="C741">
        <v>838</v>
      </c>
      <c r="D741">
        <v>808</v>
      </c>
      <c r="E741" t="s">
        <v>66</v>
      </c>
      <c r="F741" t="b">
        <v>0</v>
      </c>
      <c r="G741" t="b">
        <v>0</v>
      </c>
      <c r="H741">
        <v>1.2</v>
      </c>
      <c r="I741">
        <v>4.923</v>
      </c>
      <c r="J741" t="s">
        <v>159</v>
      </c>
      <c r="K741" t="s">
        <v>159</v>
      </c>
      <c r="L741" t="s">
        <v>159</v>
      </c>
      <c r="M741" t="s">
        <v>159</v>
      </c>
      <c r="N741" t="s">
        <v>159</v>
      </c>
      <c r="O741" t="s">
        <v>159</v>
      </c>
      <c r="P741" t="s">
        <v>159</v>
      </c>
      <c r="Q741" t="s">
        <v>159</v>
      </c>
    </row>
    <row r="742" spans="1:17">
      <c r="A742">
        <v>1279.9000000000001</v>
      </c>
      <c r="B742">
        <v>1258.5</v>
      </c>
      <c r="C742">
        <v>839</v>
      </c>
      <c r="D742">
        <v>809</v>
      </c>
      <c r="E742" t="s">
        <v>66</v>
      </c>
      <c r="F742" t="b">
        <v>0</v>
      </c>
      <c r="G742" t="b">
        <v>0</v>
      </c>
      <c r="H742">
        <v>1</v>
      </c>
      <c r="I742">
        <v>4.923</v>
      </c>
      <c r="J742" t="s">
        <v>159</v>
      </c>
      <c r="K742" t="s">
        <v>159</v>
      </c>
      <c r="L742" t="s">
        <v>159</v>
      </c>
      <c r="M742" t="s">
        <v>159</v>
      </c>
      <c r="N742" t="s">
        <v>159</v>
      </c>
      <c r="O742" t="s">
        <v>159</v>
      </c>
      <c r="P742" t="s">
        <v>159</v>
      </c>
      <c r="Q742" t="s">
        <v>159</v>
      </c>
    </row>
    <row r="743" spans="1:17">
      <c r="A743">
        <v>1281.2</v>
      </c>
      <c r="B743">
        <v>1259.8</v>
      </c>
      <c r="C743">
        <v>840</v>
      </c>
      <c r="D743">
        <v>810</v>
      </c>
      <c r="E743" t="s">
        <v>66</v>
      </c>
      <c r="F743" t="b">
        <v>0</v>
      </c>
      <c r="G743" t="b">
        <v>0</v>
      </c>
      <c r="H743">
        <v>1.3</v>
      </c>
      <c r="I743" t="s">
        <v>159</v>
      </c>
      <c r="J743" t="s">
        <v>159</v>
      </c>
      <c r="K743" t="s">
        <v>159</v>
      </c>
      <c r="L743" t="s">
        <v>159</v>
      </c>
      <c r="M743" t="s">
        <v>159</v>
      </c>
      <c r="N743" t="s">
        <v>159</v>
      </c>
      <c r="O743" t="s">
        <v>159</v>
      </c>
      <c r="P743" t="s">
        <v>159</v>
      </c>
      <c r="Q743" t="s">
        <v>159</v>
      </c>
    </row>
    <row r="744" spans="1:17">
      <c r="A744">
        <v>1283.0999999999999</v>
      </c>
      <c r="B744">
        <v>1261.7</v>
      </c>
      <c r="C744">
        <v>841</v>
      </c>
      <c r="D744">
        <v>811</v>
      </c>
      <c r="E744" t="s">
        <v>66</v>
      </c>
      <c r="F744" t="b">
        <v>0</v>
      </c>
      <c r="G744" t="b">
        <v>0</v>
      </c>
      <c r="H744">
        <v>1.9</v>
      </c>
      <c r="I744" t="s">
        <v>159</v>
      </c>
      <c r="J744" t="s">
        <v>159</v>
      </c>
      <c r="K744" t="s">
        <v>159</v>
      </c>
      <c r="L744" t="s">
        <v>159</v>
      </c>
      <c r="M744" t="s">
        <v>159</v>
      </c>
      <c r="N744" t="s">
        <v>159</v>
      </c>
      <c r="O744" t="s">
        <v>159</v>
      </c>
      <c r="P744" t="s">
        <v>159</v>
      </c>
      <c r="Q744" t="s">
        <v>159</v>
      </c>
    </row>
    <row r="745" spans="1:17">
      <c r="A745">
        <v>1284</v>
      </c>
      <c r="B745">
        <v>1262.7</v>
      </c>
      <c r="C745">
        <v>842</v>
      </c>
      <c r="D745">
        <v>812</v>
      </c>
      <c r="E745" t="s">
        <v>66</v>
      </c>
      <c r="F745" t="b">
        <v>0</v>
      </c>
      <c r="G745" t="b">
        <v>0</v>
      </c>
      <c r="H745">
        <v>1</v>
      </c>
      <c r="I745" t="s">
        <v>159</v>
      </c>
      <c r="J745" t="s">
        <v>159</v>
      </c>
      <c r="K745" t="s">
        <v>159</v>
      </c>
      <c r="L745" t="s">
        <v>159</v>
      </c>
      <c r="M745" t="s">
        <v>159</v>
      </c>
      <c r="N745" t="s">
        <v>159</v>
      </c>
      <c r="O745" t="s">
        <v>159</v>
      </c>
      <c r="P745" t="s">
        <v>159</v>
      </c>
      <c r="Q745" t="s">
        <v>159</v>
      </c>
    </row>
    <row r="746" spans="1:17">
      <c r="A746">
        <v>1285.3</v>
      </c>
      <c r="B746">
        <v>1263.9000000000001</v>
      </c>
      <c r="C746">
        <v>843</v>
      </c>
      <c r="D746">
        <v>813</v>
      </c>
      <c r="E746" t="s">
        <v>66</v>
      </c>
      <c r="F746" t="b">
        <v>0</v>
      </c>
      <c r="G746" t="b">
        <v>0</v>
      </c>
      <c r="H746">
        <v>1.2</v>
      </c>
      <c r="I746" t="s">
        <v>159</v>
      </c>
      <c r="J746" t="s">
        <v>159</v>
      </c>
      <c r="K746" t="s">
        <v>159</v>
      </c>
      <c r="L746" t="s">
        <v>159</v>
      </c>
      <c r="M746" t="s">
        <v>159</v>
      </c>
      <c r="N746" t="s">
        <v>159</v>
      </c>
      <c r="O746" t="s">
        <v>159</v>
      </c>
      <c r="P746" t="s">
        <v>159</v>
      </c>
      <c r="Q746" t="s">
        <v>159</v>
      </c>
    </row>
    <row r="747" spans="1:17">
      <c r="A747">
        <v>1286.0999999999999</v>
      </c>
      <c r="B747">
        <v>1264.8</v>
      </c>
      <c r="C747">
        <v>843</v>
      </c>
      <c r="D747">
        <v>814</v>
      </c>
      <c r="E747" t="s">
        <v>66</v>
      </c>
      <c r="F747" t="b">
        <v>0</v>
      </c>
      <c r="G747" t="b">
        <v>0</v>
      </c>
      <c r="H747">
        <v>0.9</v>
      </c>
      <c r="I747" t="s">
        <v>159</v>
      </c>
      <c r="J747" t="s">
        <v>159</v>
      </c>
      <c r="K747" t="s">
        <v>159</v>
      </c>
      <c r="L747" t="s">
        <v>159</v>
      </c>
      <c r="M747" t="s">
        <v>159</v>
      </c>
      <c r="N747" t="s">
        <v>159</v>
      </c>
      <c r="O747" t="s">
        <v>159</v>
      </c>
      <c r="P747" t="s">
        <v>159</v>
      </c>
      <c r="Q747" t="s">
        <v>159</v>
      </c>
    </row>
    <row r="748" spans="1:17">
      <c r="A748">
        <v>1286.5999999999999</v>
      </c>
      <c r="B748">
        <v>1265.2</v>
      </c>
      <c r="C748">
        <v>844</v>
      </c>
      <c r="D748">
        <v>815</v>
      </c>
      <c r="E748" t="s">
        <v>66</v>
      </c>
      <c r="F748" t="b">
        <v>0</v>
      </c>
      <c r="G748" t="b">
        <v>0</v>
      </c>
      <c r="H748">
        <v>0.5</v>
      </c>
      <c r="I748" t="s">
        <v>159</v>
      </c>
      <c r="J748" t="s">
        <v>159</v>
      </c>
      <c r="K748" t="s">
        <v>159</v>
      </c>
      <c r="L748" t="s">
        <v>159</v>
      </c>
      <c r="M748" t="s">
        <v>159</v>
      </c>
      <c r="N748" t="s">
        <v>159</v>
      </c>
      <c r="O748" t="s">
        <v>159</v>
      </c>
      <c r="P748" t="s">
        <v>159</v>
      </c>
      <c r="Q748" t="s">
        <v>159</v>
      </c>
    </row>
    <row r="749" spans="1:17">
      <c r="A749">
        <v>1287.0999999999999</v>
      </c>
      <c r="B749">
        <v>1265.7</v>
      </c>
      <c r="C749">
        <v>844</v>
      </c>
      <c r="D749">
        <v>816</v>
      </c>
      <c r="E749" t="s">
        <v>66</v>
      </c>
      <c r="F749" t="b">
        <v>0</v>
      </c>
      <c r="G749" t="b">
        <v>0</v>
      </c>
      <c r="H749">
        <v>0.5</v>
      </c>
      <c r="I749" t="s">
        <v>159</v>
      </c>
      <c r="J749" t="s">
        <v>159</v>
      </c>
      <c r="K749" t="s">
        <v>159</v>
      </c>
      <c r="L749" t="s">
        <v>159</v>
      </c>
      <c r="M749" t="s">
        <v>159</v>
      </c>
      <c r="N749" t="s">
        <v>159</v>
      </c>
      <c r="O749" t="s">
        <v>159</v>
      </c>
      <c r="P749" t="s">
        <v>159</v>
      </c>
      <c r="Q749" t="s">
        <v>159</v>
      </c>
    </row>
    <row r="750" spans="1:17">
      <c r="A750">
        <v>1298.5999999999999</v>
      </c>
      <c r="B750">
        <v>1277.2</v>
      </c>
      <c r="C750">
        <v>852</v>
      </c>
      <c r="D750">
        <v>826</v>
      </c>
      <c r="E750" t="s">
        <v>66</v>
      </c>
      <c r="F750" t="b">
        <v>0</v>
      </c>
      <c r="G750" t="b">
        <v>1</v>
      </c>
      <c r="H750">
        <v>11.5</v>
      </c>
      <c r="I750" t="s">
        <v>159</v>
      </c>
      <c r="J750">
        <v>0.69099999999999995</v>
      </c>
      <c r="K750">
        <v>2.33</v>
      </c>
      <c r="L750">
        <v>5.35</v>
      </c>
      <c r="M750">
        <v>10.6</v>
      </c>
      <c r="N750">
        <v>18.600000000000001</v>
      </c>
      <c r="O750">
        <v>22.77</v>
      </c>
      <c r="P750">
        <v>77.040000000000006</v>
      </c>
      <c r="Q750">
        <v>0.19</v>
      </c>
    </row>
    <row r="751" spans="1:17">
      <c r="A751">
        <v>1299.7</v>
      </c>
      <c r="B751">
        <v>1278.3</v>
      </c>
      <c r="C751">
        <v>853</v>
      </c>
      <c r="D751">
        <v>827</v>
      </c>
      <c r="E751" t="s">
        <v>66</v>
      </c>
      <c r="F751" t="b">
        <v>0</v>
      </c>
      <c r="G751" t="b">
        <v>0</v>
      </c>
      <c r="H751">
        <v>1.1000000000000001</v>
      </c>
      <c r="I751" t="s">
        <v>159</v>
      </c>
      <c r="J751">
        <v>0.69099999999999995</v>
      </c>
      <c r="K751">
        <v>2.33</v>
      </c>
      <c r="L751">
        <v>5.35</v>
      </c>
      <c r="M751">
        <v>10.6</v>
      </c>
      <c r="N751">
        <v>18.600000000000001</v>
      </c>
      <c r="O751">
        <v>22.77</v>
      </c>
      <c r="P751">
        <v>77.040000000000006</v>
      </c>
      <c r="Q751">
        <v>0.19</v>
      </c>
    </row>
    <row r="752" spans="1:17">
      <c r="A752">
        <v>1300.3</v>
      </c>
      <c r="B752">
        <v>1279</v>
      </c>
      <c r="C752">
        <v>854</v>
      </c>
      <c r="D752">
        <v>828</v>
      </c>
      <c r="E752" t="s">
        <v>66</v>
      </c>
      <c r="F752" t="b">
        <v>0</v>
      </c>
      <c r="G752" t="b">
        <v>0</v>
      </c>
      <c r="H752">
        <v>0.6</v>
      </c>
      <c r="I752" t="s">
        <v>159</v>
      </c>
      <c r="J752">
        <v>0.69099999999999995</v>
      </c>
      <c r="K752">
        <v>2.33</v>
      </c>
      <c r="L752">
        <v>5.35</v>
      </c>
      <c r="M752">
        <v>10.6</v>
      </c>
      <c r="N752">
        <v>18.600000000000001</v>
      </c>
      <c r="O752">
        <v>22.77</v>
      </c>
      <c r="P752">
        <v>77.040000000000006</v>
      </c>
      <c r="Q752">
        <v>0.19</v>
      </c>
    </row>
    <row r="753" spans="1:17">
      <c r="A753">
        <v>1301.3</v>
      </c>
      <c r="B753">
        <v>1280</v>
      </c>
      <c r="C753">
        <v>854</v>
      </c>
      <c r="D753">
        <v>829</v>
      </c>
      <c r="E753" t="s">
        <v>66</v>
      </c>
      <c r="F753" t="b">
        <v>0</v>
      </c>
      <c r="G753" t="b">
        <v>0</v>
      </c>
      <c r="H753">
        <v>1</v>
      </c>
      <c r="I753" t="s">
        <v>159</v>
      </c>
      <c r="J753">
        <v>0.69099999999999995</v>
      </c>
      <c r="K753">
        <v>2.33</v>
      </c>
      <c r="L753">
        <v>5.35</v>
      </c>
      <c r="M753">
        <v>10.6</v>
      </c>
      <c r="N753">
        <v>18.600000000000001</v>
      </c>
      <c r="O753">
        <v>22.77</v>
      </c>
      <c r="P753">
        <v>77.040000000000006</v>
      </c>
      <c r="Q753">
        <v>0.19</v>
      </c>
    </row>
    <row r="754" spans="1:17">
      <c r="A754">
        <v>1302.9000000000001</v>
      </c>
      <c r="B754">
        <v>1281.5</v>
      </c>
      <c r="C754">
        <v>856</v>
      </c>
      <c r="D754">
        <v>830</v>
      </c>
      <c r="E754" t="s">
        <v>66</v>
      </c>
      <c r="F754" t="b">
        <v>0</v>
      </c>
      <c r="G754" t="b">
        <v>0</v>
      </c>
      <c r="H754">
        <v>1.6</v>
      </c>
      <c r="I754" t="s">
        <v>159</v>
      </c>
      <c r="J754">
        <v>0.69099999999999995</v>
      </c>
      <c r="K754">
        <v>2.33</v>
      </c>
      <c r="L754">
        <v>5.35</v>
      </c>
      <c r="M754">
        <v>10.6</v>
      </c>
      <c r="N754">
        <v>18.600000000000001</v>
      </c>
      <c r="O754">
        <v>22.77</v>
      </c>
      <c r="P754">
        <v>77.040000000000006</v>
      </c>
      <c r="Q754">
        <v>0.19</v>
      </c>
    </row>
    <row r="755" spans="1:17">
      <c r="A755">
        <v>1304.7</v>
      </c>
      <c r="B755">
        <v>1283.4000000000001</v>
      </c>
      <c r="C755">
        <v>857</v>
      </c>
      <c r="D755">
        <v>831</v>
      </c>
      <c r="E755" t="s">
        <v>66</v>
      </c>
      <c r="F755" t="b">
        <v>0</v>
      </c>
      <c r="G755" t="b">
        <v>0</v>
      </c>
      <c r="H755">
        <v>1.8</v>
      </c>
      <c r="I755" t="s">
        <v>159</v>
      </c>
      <c r="J755">
        <v>0.69099999999999995</v>
      </c>
      <c r="K755">
        <v>2.33</v>
      </c>
      <c r="L755">
        <v>5.35</v>
      </c>
      <c r="M755">
        <v>10.6</v>
      </c>
      <c r="N755">
        <v>18.600000000000001</v>
      </c>
      <c r="O755">
        <v>22.77</v>
      </c>
      <c r="P755">
        <v>77.040000000000006</v>
      </c>
      <c r="Q755">
        <v>0.19</v>
      </c>
    </row>
    <row r="756" spans="1:17">
      <c r="A756">
        <v>1306.5999999999999</v>
      </c>
      <c r="B756">
        <v>1285.2</v>
      </c>
      <c r="C756">
        <v>858</v>
      </c>
      <c r="D756">
        <v>832</v>
      </c>
      <c r="E756" t="s">
        <v>66</v>
      </c>
      <c r="F756" t="b">
        <v>0</v>
      </c>
      <c r="G756" t="b">
        <v>0</v>
      </c>
      <c r="H756">
        <v>1.8</v>
      </c>
      <c r="I756" t="s">
        <v>159</v>
      </c>
      <c r="J756">
        <v>0.69099999999999995</v>
      </c>
      <c r="K756">
        <v>2.33</v>
      </c>
      <c r="L756">
        <v>5.35</v>
      </c>
      <c r="M756">
        <v>10.6</v>
      </c>
      <c r="N756">
        <v>18.600000000000001</v>
      </c>
      <c r="O756">
        <v>22.77</v>
      </c>
      <c r="P756">
        <v>77.040000000000006</v>
      </c>
      <c r="Q756">
        <v>0.19</v>
      </c>
    </row>
    <row r="757" spans="1:17">
      <c r="A757">
        <v>1308</v>
      </c>
      <c r="B757">
        <v>1286.7</v>
      </c>
      <c r="C757">
        <v>859</v>
      </c>
      <c r="D757">
        <v>833</v>
      </c>
      <c r="E757" t="s">
        <v>66</v>
      </c>
      <c r="F757" t="b">
        <v>0</v>
      </c>
      <c r="G757" t="b">
        <v>0</v>
      </c>
      <c r="H757">
        <v>1.5</v>
      </c>
      <c r="I757" t="s">
        <v>159</v>
      </c>
      <c r="J757">
        <v>0.69099999999999995</v>
      </c>
      <c r="K757">
        <v>2.33</v>
      </c>
      <c r="L757">
        <v>5.35</v>
      </c>
      <c r="M757">
        <v>10.6</v>
      </c>
      <c r="N757">
        <v>18.600000000000001</v>
      </c>
      <c r="O757">
        <v>22.77</v>
      </c>
      <c r="P757">
        <v>77.040000000000006</v>
      </c>
      <c r="Q757">
        <v>0.19</v>
      </c>
    </row>
    <row r="758" spans="1:17">
      <c r="A758">
        <v>1308.7</v>
      </c>
      <c r="B758">
        <v>1287.3</v>
      </c>
      <c r="C758">
        <v>860</v>
      </c>
      <c r="D758">
        <v>834</v>
      </c>
      <c r="E758" t="s">
        <v>66</v>
      </c>
      <c r="F758" t="b">
        <v>0</v>
      </c>
      <c r="G758" t="b">
        <v>0</v>
      </c>
      <c r="H758">
        <v>0.7</v>
      </c>
      <c r="I758" t="s">
        <v>159</v>
      </c>
      <c r="J758">
        <v>0.69099999999999995</v>
      </c>
      <c r="K758">
        <v>2.33</v>
      </c>
      <c r="L758">
        <v>5.35</v>
      </c>
      <c r="M758">
        <v>10.6</v>
      </c>
      <c r="N758">
        <v>18.600000000000001</v>
      </c>
      <c r="O758">
        <v>22.77</v>
      </c>
      <c r="P758">
        <v>77.040000000000006</v>
      </c>
      <c r="Q758">
        <v>0.19</v>
      </c>
    </row>
    <row r="759" spans="1:17">
      <c r="A759">
        <v>1309.4000000000001</v>
      </c>
      <c r="B759">
        <v>1288.0999999999999</v>
      </c>
      <c r="C759">
        <v>860</v>
      </c>
      <c r="D759">
        <v>835</v>
      </c>
      <c r="E759" t="s">
        <v>66</v>
      </c>
      <c r="F759" t="b">
        <v>0</v>
      </c>
      <c r="G759" t="b">
        <v>0</v>
      </c>
      <c r="H759">
        <v>0.8</v>
      </c>
      <c r="I759" t="s">
        <v>159</v>
      </c>
      <c r="J759">
        <v>0.69099999999999995</v>
      </c>
      <c r="K759">
        <v>2.33</v>
      </c>
      <c r="L759">
        <v>5.35</v>
      </c>
      <c r="M759">
        <v>10.6</v>
      </c>
      <c r="N759">
        <v>18.600000000000001</v>
      </c>
      <c r="O759">
        <v>22.77</v>
      </c>
      <c r="P759">
        <v>77.040000000000006</v>
      </c>
      <c r="Q759">
        <v>0.19</v>
      </c>
    </row>
    <row r="760" spans="1:17">
      <c r="A760">
        <v>1310.5999999999999</v>
      </c>
      <c r="B760">
        <v>1289.2</v>
      </c>
      <c r="C760">
        <v>861</v>
      </c>
      <c r="D760">
        <v>836</v>
      </c>
      <c r="E760" t="s">
        <v>66</v>
      </c>
      <c r="F760" t="b">
        <v>0</v>
      </c>
      <c r="G760" t="b">
        <v>0</v>
      </c>
      <c r="H760">
        <v>1.2</v>
      </c>
      <c r="I760">
        <v>4.9000000000000004</v>
      </c>
      <c r="J760">
        <v>0.69099999999999995</v>
      </c>
      <c r="K760">
        <v>2.33</v>
      </c>
      <c r="L760">
        <v>5.35</v>
      </c>
      <c r="M760">
        <v>10.6</v>
      </c>
      <c r="N760">
        <v>18.600000000000001</v>
      </c>
      <c r="O760">
        <v>22.77</v>
      </c>
      <c r="P760">
        <v>77.040000000000006</v>
      </c>
      <c r="Q760">
        <v>0.19</v>
      </c>
    </row>
    <row r="761" spans="1:17">
      <c r="A761">
        <v>1311.1</v>
      </c>
      <c r="B761">
        <v>1289.8</v>
      </c>
      <c r="C761">
        <v>861</v>
      </c>
      <c r="D761">
        <v>837</v>
      </c>
      <c r="E761" t="s">
        <v>66</v>
      </c>
      <c r="F761" t="b">
        <v>0</v>
      </c>
      <c r="G761" t="b">
        <v>0</v>
      </c>
      <c r="H761">
        <v>0.5</v>
      </c>
      <c r="I761">
        <v>4.9000000000000004</v>
      </c>
      <c r="J761">
        <v>0.69099999999999995</v>
      </c>
      <c r="K761">
        <v>2.33</v>
      </c>
      <c r="L761">
        <v>5.35</v>
      </c>
      <c r="M761">
        <v>10.6</v>
      </c>
      <c r="N761">
        <v>18.600000000000001</v>
      </c>
      <c r="O761">
        <v>22.77</v>
      </c>
      <c r="P761">
        <v>77.040000000000006</v>
      </c>
      <c r="Q761">
        <v>0.19</v>
      </c>
    </row>
    <row r="762" spans="1:17">
      <c r="A762">
        <v>1312.1</v>
      </c>
      <c r="B762">
        <v>1290.7</v>
      </c>
      <c r="C762">
        <v>862</v>
      </c>
      <c r="D762">
        <v>838</v>
      </c>
      <c r="E762" t="s">
        <v>66</v>
      </c>
      <c r="F762" t="b">
        <v>0</v>
      </c>
      <c r="G762" t="b">
        <v>0</v>
      </c>
      <c r="H762">
        <v>1</v>
      </c>
      <c r="I762">
        <v>4.9000000000000004</v>
      </c>
      <c r="J762">
        <v>0.69099999999999995</v>
      </c>
      <c r="K762">
        <v>2.33</v>
      </c>
      <c r="L762">
        <v>5.35</v>
      </c>
      <c r="M762">
        <v>10.6</v>
      </c>
      <c r="N762">
        <v>18.600000000000001</v>
      </c>
      <c r="O762">
        <v>22.77</v>
      </c>
      <c r="P762">
        <v>77.040000000000006</v>
      </c>
      <c r="Q762">
        <v>0.19</v>
      </c>
    </row>
    <row r="763" spans="1:17">
      <c r="A763">
        <v>1313</v>
      </c>
      <c r="B763">
        <v>1291.7</v>
      </c>
      <c r="C763">
        <v>863</v>
      </c>
      <c r="D763">
        <v>839</v>
      </c>
      <c r="E763" t="s">
        <v>66</v>
      </c>
      <c r="F763" t="b">
        <v>0</v>
      </c>
      <c r="G763" t="b">
        <v>0</v>
      </c>
      <c r="H763">
        <v>1</v>
      </c>
      <c r="I763">
        <v>4.9000000000000004</v>
      </c>
      <c r="J763">
        <v>0.69099999999999995</v>
      </c>
      <c r="K763">
        <v>2.33</v>
      </c>
      <c r="L763">
        <v>5.35</v>
      </c>
      <c r="M763">
        <v>10.6</v>
      </c>
      <c r="N763">
        <v>18.600000000000001</v>
      </c>
      <c r="O763">
        <v>22.77</v>
      </c>
      <c r="P763">
        <v>77.040000000000006</v>
      </c>
      <c r="Q763">
        <v>0.19</v>
      </c>
    </row>
    <row r="764" spans="1:17">
      <c r="A764">
        <v>1314.3</v>
      </c>
      <c r="B764">
        <v>1292.9000000000001</v>
      </c>
      <c r="C764">
        <v>864</v>
      </c>
      <c r="D764">
        <v>840</v>
      </c>
      <c r="E764" t="s">
        <v>66</v>
      </c>
      <c r="F764" t="b">
        <v>0</v>
      </c>
      <c r="G764" t="b">
        <v>0</v>
      </c>
      <c r="H764">
        <v>1.3</v>
      </c>
      <c r="I764">
        <v>4.9000000000000004</v>
      </c>
      <c r="J764">
        <v>0.69099999999999995</v>
      </c>
      <c r="K764">
        <v>2.33</v>
      </c>
      <c r="L764">
        <v>5.35</v>
      </c>
      <c r="M764">
        <v>10.6</v>
      </c>
      <c r="N764">
        <v>18.600000000000001</v>
      </c>
      <c r="O764">
        <v>22.77</v>
      </c>
      <c r="P764">
        <v>77.040000000000006</v>
      </c>
      <c r="Q764">
        <v>0.19</v>
      </c>
    </row>
    <row r="765" spans="1:17">
      <c r="A765">
        <v>1316.3</v>
      </c>
      <c r="B765">
        <v>1294.9000000000001</v>
      </c>
      <c r="C765">
        <v>865</v>
      </c>
      <c r="D765">
        <v>841</v>
      </c>
      <c r="E765" t="s">
        <v>66</v>
      </c>
      <c r="F765" t="b">
        <v>0</v>
      </c>
      <c r="G765" t="b">
        <v>0</v>
      </c>
      <c r="H765">
        <v>2</v>
      </c>
      <c r="I765">
        <v>4.9000000000000004</v>
      </c>
      <c r="J765" t="s">
        <v>159</v>
      </c>
      <c r="K765" t="s">
        <v>159</v>
      </c>
      <c r="L765" t="s">
        <v>159</v>
      </c>
      <c r="M765" t="s">
        <v>159</v>
      </c>
      <c r="N765" t="s">
        <v>159</v>
      </c>
      <c r="O765" t="s">
        <v>159</v>
      </c>
      <c r="P765" t="s">
        <v>159</v>
      </c>
      <c r="Q765" t="s">
        <v>159</v>
      </c>
    </row>
    <row r="766" spans="1:17">
      <c r="A766">
        <v>1318.1</v>
      </c>
      <c r="B766">
        <v>1296.7</v>
      </c>
      <c r="C766">
        <v>866</v>
      </c>
      <c r="D766">
        <v>842</v>
      </c>
      <c r="E766" t="s">
        <v>66</v>
      </c>
      <c r="F766" t="b">
        <v>0</v>
      </c>
      <c r="G766" t="b">
        <v>0</v>
      </c>
      <c r="H766">
        <v>1.8</v>
      </c>
      <c r="I766">
        <v>4.9000000000000004</v>
      </c>
      <c r="J766" t="s">
        <v>159</v>
      </c>
      <c r="K766" t="s">
        <v>159</v>
      </c>
      <c r="L766" t="s">
        <v>159</v>
      </c>
      <c r="M766" t="s">
        <v>159</v>
      </c>
      <c r="N766" t="s">
        <v>159</v>
      </c>
      <c r="O766" t="s">
        <v>159</v>
      </c>
      <c r="P766" t="s">
        <v>159</v>
      </c>
      <c r="Q766" t="s">
        <v>159</v>
      </c>
    </row>
    <row r="767" spans="1:17">
      <c r="A767">
        <v>1320.2</v>
      </c>
      <c r="B767">
        <v>1298.8</v>
      </c>
      <c r="C767">
        <v>868</v>
      </c>
      <c r="D767">
        <v>843</v>
      </c>
      <c r="E767" t="s">
        <v>66</v>
      </c>
      <c r="F767" t="b">
        <v>0</v>
      </c>
      <c r="G767" t="b">
        <v>0</v>
      </c>
      <c r="H767">
        <v>2.1</v>
      </c>
      <c r="I767">
        <v>4.9000000000000004</v>
      </c>
      <c r="J767" t="s">
        <v>159</v>
      </c>
      <c r="K767" t="s">
        <v>159</v>
      </c>
      <c r="L767" t="s">
        <v>159</v>
      </c>
      <c r="M767" t="s">
        <v>159</v>
      </c>
      <c r="N767" t="s">
        <v>159</v>
      </c>
      <c r="O767" t="s">
        <v>159</v>
      </c>
      <c r="P767" t="s">
        <v>159</v>
      </c>
      <c r="Q767" t="s">
        <v>159</v>
      </c>
    </row>
    <row r="768" spans="1:17">
      <c r="A768">
        <v>1322.3</v>
      </c>
      <c r="B768">
        <v>1300.9000000000001</v>
      </c>
      <c r="C768">
        <v>869</v>
      </c>
      <c r="D768">
        <v>844</v>
      </c>
      <c r="E768" t="s">
        <v>66</v>
      </c>
      <c r="F768" t="b">
        <v>0</v>
      </c>
      <c r="G768" t="b">
        <v>0</v>
      </c>
      <c r="H768">
        <v>2.1</v>
      </c>
      <c r="I768">
        <v>4.9000000000000004</v>
      </c>
      <c r="J768" t="s">
        <v>159</v>
      </c>
      <c r="K768" t="s">
        <v>159</v>
      </c>
      <c r="L768" t="s">
        <v>159</v>
      </c>
      <c r="M768" t="s">
        <v>159</v>
      </c>
      <c r="N768" t="s">
        <v>159</v>
      </c>
      <c r="O768" t="s">
        <v>159</v>
      </c>
      <c r="P768" t="s">
        <v>159</v>
      </c>
      <c r="Q768" t="s">
        <v>159</v>
      </c>
    </row>
    <row r="769" spans="1:17">
      <c r="A769">
        <v>1322.9</v>
      </c>
      <c r="B769">
        <v>1301.5</v>
      </c>
      <c r="C769">
        <v>870</v>
      </c>
      <c r="D769">
        <v>845</v>
      </c>
      <c r="E769" t="s">
        <v>66</v>
      </c>
      <c r="F769" t="b">
        <v>0</v>
      </c>
      <c r="G769" t="b">
        <v>0</v>
      </c>
      <c r="H769">
        <v>0.6</v>
      </c>
      <c r="I769">
        <v>4.9000000000000004</v>
      </c>
      <c r="J769" t="s">
        <v>159</v>
      </c>
      <c r="K769" t="s">
        <v>159</v>
      </c>
      <c r="L769" t="s">
        <v>159</v>
      </c>
      <c r="M769" t="s">
        <v>159</v>
      </c>
      <c r="N769" t="s">
        <v>159</v>
      </c>
      <c r="O769" t="s">
        <v>159</v>
      </c>
      <c r="P769" t="s">
        <v>159</v>
      </c>
      <c r="Q769" t="s">
        <v>159</v>
      </c>
    </row>
    <row r="770" spans="1:17">
      <c r="A770">
        <v>1324</v>
      </c>
      <c r="B770">
        <v>1302.7</v>
      </c>
      <c r="C770">
        <v>871</v>
      </c>
      <c r="D770">
        <v>846</v>
      </c>
      <c r="E770" t="s">
        <v>66</v>
      </c>
      <c r="F770" t="b">
        <v>0</v>
      </c>
      <c r="G770" t="b">
        <v>0</v>
      </c>
      <c r="H770">
        <v>1.2</v>
      </c>
      <c r="I770">
        <v>4.9000000000000004</v>
      </c>
      <c r="J770" t="s">
        <v>159</v>
      </c>
      <c r="K770" t="s">
        <v>159</v>
      </c>
      <c r="L770" t="s">
        <v>159</v>
      </c>
      <c r="M770" t="s">
        <v>159</v>
      </c>
      <c r="N770" t="s">
        <v>159</v>
      </c>
      <c r="O770" t="s">
        <v>159</v>
      </c>
      <c r="P770" t="s">
        <v>159</v>
      </c>
      <c r="Q770" t="s">
        <v>159</v>
      </c>
    </row>
    <row r="771" spans="1:17">
      <c r="A771">
        <v>1326.1</v>
      </c>
      <c r="B771">
        <v>1304.7</v>
      </c>
      <c r="C771">
        <v>872</v>
      </c>
      <c r="D771">
        <v>847</v>
      </c>
      <c r="E771" t="s">
        <v>66</v>
      </c>
      <c r="F771" t="b">
        <v>0</v>
      </c>
      <c r="G771" t="b">
        <v>0</v>
      </c>
      <c r="H771">
        <v>2.1</v>
      </c>
      <c r="I771">
        <v>4.9000000000000004</v>
      </c>
      <c r="J771" t="s">
        <v>159</v>
      </c>
      <c r="K771" t="s">
        <v>159</v>
      </c>
      <c r="L771" t="s">
        <v>159</v>
      </c>
      <c r="M771" t="s">
        <v>159</v>
      </c>
      <c r="N771" t="s">
        <v>159</v>
      </c>
      <c r="O771" t="s">
        <v>159</v>
      </c>
      <c r="P771" t="s">
        <v>159</v>
      </c>
      <c r="Q771" t="s">
        <v>159</v>
      </c>
    </row>
    <row r="772" spans="1:17">
      <c r="A772">
        <v>1327.7</v>
      </c>
      <c r="B772">
        <v>1306.3</v>
      </c>
      <c r="C772">
        <v>873</v>
      </c>
      <c r="D772">
        <v>848</v>
      </c>
      <c r="E772" t="s">
        <v>66</v>
      </c>
      <c r="F772" t="b">
        <v>0</v>
      </c>
      <c r="G772" t="b">
        <v>0</v>
      </c>
      <c r="H772">
        <v>1.6</v>
      </c>
      <c r="I772">
        <v>4.9000000000000004</v>
      </c>
      <c r="J772" t="s">
        <v>159</v>
      </c>
      <c r="K772" t="s">
        <v>159</v>
      </c>
      <c r="L772" t="s">
        <v>159</v>
      </c>
      <c r="M772" t="s">
        <v>159</v>
      </c>
      <c r="N772" t="s">
        <v>159</v>
      </c>
      <c r="O772" t="s">
        <v>159</v>
      </c>
      <c r="P772" t="s">
        <v>159</v>
      </c>
      <c r="Q772" t="s">
        <v>159</v>
      </c>
    </row>
    <row r="773" spans="1:17">
      <c r="A773">
        <v>1329.8</v>
      </c>
      <c r="B773">
        <v>1308.5</v>
      </c>
      <c r="C773">
        <v>875</v>
      </c>
      <c r="D773">
        <v>849</v>
      </c>
      <c r="E773" t="s">
        <v>66</v>
      </c>
      <c r="F773" t="b">
        <v>0</v>
      </c>
      <c r="G773" t="b">
        <v>0</v>
      </c>
      <c r="H773">
        <v>2.1</v>
      </c>
      <c r="I773">
        <v>4.9000000000000004</v>
      </c>
      <c r="J773" t="s">
        <v>159</v>
      </c>
      <c r="K773" t="s">
        <v>159</v>
      </c>
      <c r="L773" t="s">
        <v>159</v>
      </c>
      <c r="M773" t="s">
        <v>159</v>
      </c>
      <c r="N773" t="s">
        <v>159</v>
      </c>
      <c r="O773" t="s">
        <v>159</v>
      </c>
      <c r="P773" t="s">
        <v>159</v>
      </c>
      <c r="Q773" t="s">
        <v>159</v>
      </c>
    </row>
    <row r="774" spans="1:17">
      <c r="A774">
        <v>1330.5</v>
      </c>
      <c r="B774">
        <v>1309.0999999999999</v>
      </c>
      <c r="C774">
        <v>875</v>
      </c>
      <c r="D774">
        <v>850</v>
      </c>
      <c r="E774" t="s">
        <v>66</v>
      </c>
      <c r="F774" t="b">
        <v>0</v>
      </c>
      <c r="G774" t="b">
        <v>0</v>
      </c>
      <c r="H774">
        <v>0.7</v>
      </c>
      <c r="I774" t="s">
        <v>159</v>
      </c>
      <c r="J774" t="s">
        <v>159</v>
      </c>
      <c r="K774" t="s">
        <v>159</v>
      </c>
      <c r="L774" t="s">
        <v>159</v>
      </c>
      <c r="M774" t="s">
        <v>159</v>
      </c>
      <c r="N774" t="s">
        <v>159</v>
      </c>
      <c r="O774" t="s">
        <v>159</v>
      </c>
      <c r="P774" t="s">
        <v>159</v>
      </c>
      <c r="Q774" t="s">
        <v>159</v>
      </c>
    </row>
    <row r="775" spans="1:17">
      <c r="A775">
        <v>1331.5</v>
      </c>
      <c r="B775">
        <v>1310.0999999999999</v>
      </c>
      <c r="C775">
        <v>876</v>
      </c>
      <c r="D775">
        <v>851</v>
      </c>
      <c r="E775" t="s">
        <v>66</v>
      </c>
      <c r="F775" t="b">
        <v>0</v>
      </c>
      <c r="G775" t="b">
        <v>0</v>
      </c>
      <c r="H775">
        <v>1</v>
      </c>
      <c r="I775" t="s">
        <v>159</v>
      </c>
      <c r="J775" t="s">
        <v>159</v>
      </c>
      <c r="K775" t="s">
        <v>159</v>
      </c>
      <c r="L775" t="s">
        <v>159</v>
      </c>
      <c r="M775" t="s">
        <v>159</v>
      </c>
      <c r="N775" t="s">
        <v>159</v>
      </c>
      <c r="O775" t="s">
        <v>159</v>
      </c>
      <c r="P775" t="s">
        <v>159</v>
      </c>
      <c r="Q775" t="s">
        <v>159</v>
      </c>
    </row>
    <row r="776" spans="1:17">
      <c r="A776">
        <v>1332.9</v>
      </c>
      <c r="B776">
        <v>1311.5</v>
      </c>
      <c r="C776">
        <v>877</v>
      </c>
      <c r="D776">
        <v>852</v>
      </c>
      <c r="E776" t="s">
        <v>66</v>
      </c>
      <c r="F776" t="b">
        <v>0</v>
      </c>
      <c r="G776" t="b">
        <v>0</v>
      </c>
      <c r="H776">
        <v>1.4</v>
      </c>
      <c r="I776" t="s">
        <v>159</v>
      </c>
      <c r="J776" t="s">
        <v>159</v>
      </c>
      <c r="K776" t="s">
        <v>159</v>
      </c>
      <c r="L776" t="s">
        <v>159</v>
      </c>
      <c r="M776" t="s">
        <v>159</v>
      </c>
      <c r="N776" t="s">
        <v>159</v>
      </c>
      <c r="O776" t="s">
        <v>159</v>
      </c>
      <c r="P776" t="s">
        <v>159</v>
      </c>
      <c r="Q776" t="s">
        <v>159</v>
      </c>
    </row>
    <row r="777" spans="1:17">
      <c r="A777">
        <v>1333.4</v>
      </c>
      <c r="B777">
        <v>1312.1</v>
      </c>
      <c r="C777">
        <v>878</v>
      </c>
      <c r="D777">
        <v>853</v>
      </c>
      <c r="E777" t="s">
        <v>66</v>
      </c>
      <c r="F777" t="b">
        <v>0</v>
      </c>
      <c r="G777" t="b">
        <v>0</v>
      </c>
      <c r="H777">
        <v>0.6</v>
      </c>
      <c r="I777" t="s">
        <v>159</v>
      </c>
      <c r="J777" t="s">
        <v>159</v>
      </c>
      <c r="K777" t="s">
        <v>159</v>
      </c>
      <c r="L777" t="s">
        <v>159</v>
      </c>
      <c r="M777" t="s">
        <v>159</v>
      </c>
      <c r="N777" t="s">
        <v>159</v>
      </c>
      <c r="O777" t="s">
        <v>159</v>
      </c>
      <c r="P777" t="s">
        <v>159</v>
      </c>
      <c r="Q777" t="s">
        <v>159</v>
      </c>
    </row>
    <row r="778" spans="1:17">
      <c r="A778">
        <v>1334.4</v>
      </c>
      <c r="B778">
        <v>1313</v>
      </c>
      <c r="C778">
        <v>878</v>
      </c>
      <c r="D778">
        <v>854</v>
      </c>
      <c r="E778" t="s">
        <v>66</v>
      </c>
      <c r="F778" t="b">
        <v>0</v>
      </c>
      <c r="G778" t="b">
        <v>0</v>
      </c>
      <c r="H778">
        <v>1</v>
      </c>
      <c r="I778" t="s">
        <v>159</v>
      </c>
      <c r="J778" t="s">
        <v>159</v>
      </c>
      <c r="K778" t="s">
        <v>159</v>
      </c>
      <c r="L778" t="s">
        <v>159</v>
      </c>
      <c r="M778" t="s">
        <v>159</v>
      </c>
      <c r="N778" t="s">
        <v>159</v>
      </c>
      <c r="O778" t="s">
        <v>159</v>
      </c>
      <c r="P778" t="s">
        <v>159</v>
      </c>
      <c r="Q778" t="s">
        <v>159</v>
      </c>
    </row>
    <row r="779" spans="1:17">
      <c r="A779">
        <v>1336.2</v>
      </c>
      <c r="B779">
        <v>1314.8</v>
      </c>
      <c r="C779">
        <v>879</v>
      </c>
      <c r="D779">
        <v>855</v>
      </c>
      <c r="E779" t="s">
        <v>66</v>
      </c>
      <c r="F779" t="b">
        <v>0</v>
      </c>
      <c r="G779" t="b">
        <v>0</v>
      </c>
      <c r="H779">
        <v>1.8</v>
      </c>
      <c r="I779">
        <v>4.984</v>
      </c>
      <c r="J779" t="s">
        <v>159</v>
      </c>
      <c r="K779" t="s">
        <v>159</v>
      </c>
      <c r="L779" t="s">
        <v>159</v>
      </c>
      <c r="M779" t="s">
        <v>159</v>
      </c>
      <c r="N779" t="s">
        <v>159</v>
      </c>
      <c r="O779" t="s">
        <v>159</v>
      </c>
      <c r="P779" t="s">
        <v>159</v>
      </c>
      <c r="Q779" t="s">
        <v>159</v>
      </c>
    </row>
    <row r="780" spans="1:17">
      <c r="A780">
        <v>1337.3</v>
      </c>
      <c r="B780">
        <v>1315.9</v>
      </c>
      <c r="C780">
        <v>880</v>
      </c>
      <c r="D780">
        <v>856</v>
      </c>
      <c r="E780" t="s">
        <v>66</v>
      </c>
      <c r="F780" t="b">
        <v>0</v>
      </c>
      <c r="G780" t="b">
        <v>0</v>
      </c>
      <c r="H780">
        <v>1.1000000000000001</v>
      </c>
      <c r="I780">
        <v>4.984</v>
      </c>
      <c r="J780" t="s">
        <v>159</v>
      </c>
      <c r="K780" t="s">
        <v>159</v>
      </c>
      <c r="L780" t="s">
        <v>159</v>
      </c>
      <c r="M780" t="s">
        <v>159</v>
      </c>
      <c r="N780" t="s">
        <v>159</v>
      </c>
      <c r="O780" t="s">
        <v>159</v>
      </c>
      <c r="P780" t="s">
        <v>159</v>
      </c>
      <c r="Q780" t="s">
        <v>159</v>
      </c>
    </row>
    <row r="781" spans="1:17">
      <c r="A781">
        <v>1337.9</v>
      </c>
      <c r="B781">
        <v>1316.5</v>
      </c>
      <c r="C781">
        <v>881</v>
      </c>
      <c r="D781">
        <v>857</v>
      </c>
      <c r="E781" t="s">
        <v>66</v>
      </c>
      <c r="F781" t="b">
        <v>0</v>
      </c>
      <c r="G781" t="b">
        <v>0</v>
      </c>
      <c r="H781">
        <v>0.6</v>
      </c>
      <c r="I781">
        <v>4.984</v>
      </c>
      <c r="J781" t="s">
        <v>159</v>
      </c>
      <c r="K781" t="s">
        <v>159</v>
      </c>
      <c r="L781" t="s">
        <v>159</v>
      </c>
      <c r="M781" t="s">
        <v>159</v>
      </c>
      <c r="N781" t="s">
        <v>159</v>
      </c>
      <c r="O781" t="s">
        <v>159</v>
      </c>
      <c r="P781" t="s">
        <v>159</v>
      </c>
      <c r="Q781" t="s">
        <v>159</v>
      </c>
    </row>
    <row r="782" spans="1:17">
      <c r="A782">
        <v>1338.4</v>
      </c>
      <c r="B782">
        <v>1317.1</v>
      </c>
      <c r="C782">
        <v>881</v>
      </c>
      <c r="D782">
        <v>858</v>
      </c>
      <c r="E782" t="s">
        <v>66</v>
      </c>
      <c r="F782" t="b">
        <v>0</v>
      </c>
      <c r="G782" t="b">
        <v>0</v>
      </c>
      <c r="H782">
        <v>0.5</v>
      </c>
      <c r="I782">
        <v>4.984</v>
      </c>
      <c r="J782" t="s">
        <v>159</v>
      </c>
      <c r="K782" t="s">
        <v>159</v>
      </c>
      <c r="L782" t="s">
        <v>159</v>
      </c>
      <c r="M782" t="s">
        <v>159</v>
      </c>
      <c r="N782" t="s">
        <v>159</v>
      </c>
      <c r="O782" t="s">
        <v>159</v>
      </c>
      <c r="P782" t="s">
        <v>159</v>
      </c>
      <c r="Q782" t="s">
        <v>159</v>
      </c>
    </row>
    <row r="783" spans="1:17">
      <c r="A783">
        <v>1350.5</v>
      </c>
      <c r="B783">
        <v>1329.1</v>
      </c>
      <c r="C783">
        <v>890</v>
      </c>
      <c r="D783">
        <v>868</v>
      </c>
      <c r="E783" t="s">
        <v>66</v>
      </c>
      <c r="F783" t="b">
        <v>0</v>
      </c>
      <c r="G783" t="b">
        <v>1</v>
      </c>
      <c r="H783">
        <v>12.1</v>
      </c>
      <c r="I783">
        <v>4.984</v>
      </c>
      <c r="J783" t="s">
        <v>159</v>
      </c>
      <c r="K783" t="s">
        <v>159</v>
      </c>
      <c r="L783" t="s">
        <v>159</v>
      </c>
      <c r="M783" t="s">
        <v>159</v>
      </c>
      <c r="N783" t="s">
        <v>159</v>
      </c>
      <c r="O783" t="s">
        <v>159</v>
      </c>
      <c r="P783" t="s">
        <v>159</v>
      </c>
      <c r="Q783" t="s">
        <v>159</v>
      </c>
    </row>
    <row r="784" spans="1:17">
      <c r="A784">
        <v>1351.3</v>
      </c>
      <c r="B784">
        <v>1330</v>
      </c>
      <c r="C784">
        <v>890</v>
      </c>
      <c r="D784">
        <v>869</v>
      </c>
      <c r="E784" t="s">
        <v>66</v>
      </c>
      <c r="F784" t="b">
        <v>0</v>
      </c>
      <c r="G784" t="b">
        <v>0</v>
      </c>
      <c r="H784">
        <v>0.9</v>
      </c>
      <c r="I784">
        <v>4.984</v>
      </c>
      <c r="J784" t="s">
        <v>159</v>
      </c>
      <c r="K784" t="s">
        <v>159</v>
      </c>
      <c r="L784" t="s">
        <v>159</v>
      </c>
      <c r="M784" t="s">
        <v>159</v>
      </c>
      <c r="N784" t="s">
        <v>159</v>
      </c>
      <c r="O784" t="s">
        <v>159</v>
      </c>
      <c r="P784" t="s">
        <v>159</v>
      </c>
      <c r="Q784" t="s">
        <v>159</v>
      </c>
    </row>
    <row r="785" spans="1:17">
      <c r="A785">
        <v>1352.7</v>
      </c>
      <c r="B785">
        <v>1331.3</v>
      </c>
      <c r="C785">
        <v>891</v>
      </c>
      <c r="D785">
        <v>870</v>
      </c>
      <c r="E785" t="s">
        <v>66</v>
      </c>
      <c r="F785" t="b">
        <v>0</v>
      </c>
      <c r="G785" t="b">
        <v>0</v>
      </c>
      <c r="H785">
        <v>1.4</v>
      </c>
      <c r="I785">
        <v>4.984</v>
      </c>
      <c r="J785" t="s">
        <v>159</v>
      </c>
      <c r="K785" t="s">
        <v>159</v>
      </c>
      <c r="L785" t="s">
        <v>159</v>
      </c>
      <c r="M785" t="s">
        <v>159</v>
      </c>
      <c r="N785" t="s">
        <v>159</v>
      </c>
      <c r="O785" t="s">
        <v>159</v>
      </c>
      <c r="P785" t="s">
        <v>159</v>
      </c>
      <c r="Q785" t="s">
        <v>159</v>
      </c>
    </row>
    <row r="786" spans="1:17">
      <c r="A786">
        <v>1353.7</v>
      </c>
      <c r="B786">
        <v>1332.3</v>
      </c>
      <c r="C786">
        <v>892</v>
      </c>
      <c r="D786">
        <v>871</v>
      </c>
      <c r="E786" t="s">
        <v>66</v>
      </c>
      <c r="F786" t="b">
        <v>0</v>
      </c>
      <c r="G786" t="b">
        <v>0</v>
      </c>
      <c r="H786">
        <v>1</v>
      </c>
      <c r="I786">
        <v>4.984</v>
      </c>
      <c r="J786" t="s">
        <v>159</v>
      </c>
      <c r="K786" t="s">
        <v>159</v>
      </c>
      <c r="L786" t="s">
        <v>159</v>
      </c>
      <c r="M786" t="s">
        <v>159</v>
      </c>
      <c r="N786" t="s">
        <v>159</v>
      </c>
      <c r="O786" t="s">
        <v>159</v>
      </c>
      <c r="P786" t="s">
        <v>159</v>
      </c>
      <c r="Q786" t="s">
        <v>159</v>
      </c>
    </row>
    <row r="787" spans="1:17">
      <c r="A787">
        <v>1354.2</v>
      </c>
      <c r="B787">
        <v>1332.8</v>
      </c>
      <c r="C787">
        <v>892</v>
      </c>
      <c r="D787">
        <v>872</v>
      </c>
      <c r="E787" t="s">
        <v>66</v>
      </c>
      <c r="F787" t="b">
        <v>0</v>
      </c>
      <c r="G787" t="b">
        <v>0</v>
      </c>
      <c r="H787">
        <v>0.5</v>
      </c>
      <c r="I787">
        <v>4.984</v>
      </c>
      <c r="J787" t="s">
        <v>159</v>
      </c>
      <c r="K787" t="s">
        <v>159</v>
      </c>
      <c r="L787" t="s">
        <v>159</v>
      </c>
      <c r="M787" t="s">
        <v>159</v>
      </c>
      <c r="N787" t="s">
        <v>159</v>
      </c>
      <c r="O787" t="s">
        <v>159</v>
      </c>
      <c r="P787" t="s">
        <v>159</v>
      </c>
      <c r="Q787" t="s">
        <v>159</v>
      </c>
    </row>
    <row r="788" spans="1:17">
      <c r="A788">
        <v>1355.3</v>
      </c>
      <c r="B788">
        <v>1333.9</v>
      </c>
      <c r="C788">
        <v>893</v>
      </c>
      <c r="D788">
        <v>873</v>
      </c>
      <c r="E788" t="s">
        <v>66</v>
      </c>
      <c r="F788" t="b">
        <v>0</v>
      </c>
      <c r="G788" t="b">
        <v>0</v>
      </c>
      <c r="H788">
        <v>1.1000000000000001</v>
      </c>
      <c r="I788">
        <v>4.984</v>
      </c>
      <c r="J788" t="s">
        <v>159</v>
      </c>
      <c r="K788" t="s">
        <v>159</v>
      </c>
      <c r="L788" t="s">
        <v>159</v>
      </c>
      <c r="M788" t="s">
        <v>159</v>
      </c>
      <c r="N788" t="s">
        <v>159</v>
      </c>
      <c r="O788" t="s">
        <v>159</v>
      </c>
      <c r="P788" t="s">
        <v>159</v>
      </c>
      <c r="Q788" t="s">
        <v>159</v>
      </c>
    </row>
    <row r="789" spans="1:17">
      <c r="A789">
        <v>1356.5</v>
      </c>
      <c r="B789">
        <v>1335.1</v>
      </c>
      <c r="C789">
        <v>894</v>
      </c>
      <c r="D789">
        <v>874</v>
      </c>
      <c r="E789" t="s">
        <v>66</v>
      </c>
      <c r="F789" t="b">
        <v>0</v>
      </c>
      <c r="G789" t="b">
        <v>0</v>
      </c>
      <c r="H789">
        <v>1.2</v>
      </c>
      <c r="I789" t="s">
        <v>159</v>
      </c>
      <c r="J789" t="s">
        <v>159</v>
      </c>
      <c r="K789" t="s">
        <v>159</v>
      </c>
      <c r="L789" t="s">
        <v>159</v>
      </c>
      <c r="M789" t="s">
        <v>159</v>
      </c>
      <c r="N789" t="s">
        <v>159</v>
      </c>
      <c r="O789" t="s">
        <v>159</v>
      </c>
      <c r="P789" t="s">
        <v>159</v>
      </c>
      <c r="Q789" t="s">
        <v>159</v>
      </c>
    </row>
    <row r="790" spans="1:17">
      <c r="A790">
        <v>1358.2</v>
      </c>
      <c r="B790">
        <v>1336.9</v>
      </c>
      <c r="C790">
        <v>895</v>
      </c>
      <c r="D790">
        <v>875</v>
      </c>
      <c r="E790" t="s">
        <v>66</v>
      </c>
      <c r="F790" t="b">
        <v>0</v>
      </c>
      <c r="G790" t="b">
        <v>0</v>
      </c>
      <c r="H790">
        <v>1.8</v>
      </c>
      <c r="I790" t="s">
        <v>159</v>
      </c>
      <c r="J790" t="s">
        <v>159</v>
      </c>
      <c r="K790" t="s">
        <v>159</v>
      </c>
      <c r="L790" t="s">
        <v>159</v>
      </c>
      <c r="M790" t="s">
        <v>159</v>
      </c>
      <c r="N790" t="s">
        <v>159</v>
      </c>
      <c r="O790" t="s">
        <v>159</v>
      </c>
      <c r="P790" t="s">
        <v>159</v>
      </c>
      <c r="Q790" t="s">
        <v>159</v>
      </c>
    </row>
    <row r="791" spans="1:17">
      <c r="A791">
        <v>1359.8</v>
      </c>
      <c r="B791">
        <v>1338.5</v>
      </c>
      <c r="C791">
        <v>896</v>
      </c>
      <c r="D791">
        <v>876</v>
      </c>
      <c r="E791" t="s">
        <v>66</v>
      </c>
      <c r="F791" t="b">
        <v>0</v>
      </c>
      <c r="G791" t="b">
        <v>0</v>
      </c>
      <c r="H791">
        <v>1.6</v>
      </c>
      <c r="I791">
        <v>3.6829999999999998</v>
      </c>
      <c r="J791" t="s">
        <v>159</v>
      </c>
      <c r="K791" t="s">
        <v>159</v>
      </c>
      <c r="L791" t="s">
        <v>159</v>
      </c>
      <c r="M791" t="s">
        <v>159</v>
      </c>
      <c r="N791" t="s">
        <v>159</v>
      </c>
      <c r="O791" t="s">
        <v>159</v>
      </c>
      <c r="P791" t="s">
        <v>159</v>
      </c>
      <c r="Q791" t="s">
        <v>159</v>
      </c>
    </row>
    <row r="792" spans="1:17">
      <c r="A792">
        <v>1361.7</v>
      </c>
      <c r="B792">
        <v>1340.3</v>
      </c>
      <c r="C792">
        <v>898</v>
      </c>
      <c r="D792">
        <v>877</v>
      </c>
      <c r="E792" t="s">
        <v>66</v>
      </c>
      <c r="F792" t="b">
        <v>0</v>
      </c>
      <c r="G792" t="b">
        <v>0</v>
      </c>
      <c r="H792">
        <v>1.9</v>
      </c>
      <c r="I792">
        <v>3.6829999999999998</v>
      </c>
      <c r="J792" t="s">
        <v>159</v>
      </c>
      <c r="K792" t="s">
        <v>159</v>
      </c>
      <c r="L792" t="s">
        <v>159</v>
      </c>
      <c r="M792" t="s">
        <v>159</v>
      </c>
      <c r="N792" t="s">
        <v>159</v>
      </c>
      <c r="O792" t="s">
        <v>159</v>
      </c>
      <c r="P792" t="s">
        <v>159</v>
      </c>
      <c r="Q792" t="s">
        <v>159</v>
      </c>
    </row>
    <row r="793" spans="1:17">
      <c r="A793">
        <v>1362.4</v>
      </c>
      <c r="B793">
        <v>1341</v>
      </c>
      <c r="C793">
        <v>898</v>
      </c>
      <c r="D793">
        <v>878</v>
      </c>
      <c r="E793" t="s">
        <v>66</v>
      </c>
      <c r="F793" t="b">
        <v>0</v>
      </c>
      <c r="G793" t="b">
        <v>0</v>
      </c>
      <c r="H793">
        <v>0.6</v>
      </c>
      <c r="I793">
        <v>3.6829999999999998</v>
      </c>
      <c r="J793" t="s">
        <v>159</v>
      </c>
      <c r="K793" t="s">
        <v>159</v>
      </c>
      <c r="L793" t="s">
        <v>159</v>
      </c>
      <c r="M793" t="s">
        <v>159</v>
      </c>
      <c r="N793" t="s">
        <v>159</v>
      </c>
      <c r="O793" t="s">
        <v>159</v>
      </c>
      <c r="P793" t="s">
        <v>159</v>
      </c>
      <c r="Q793" t="s">
        <v>159</v>
      </c>
    </row>
    <row r="794" spans="1:17">
      <c r="A794">
        <v>1363.4</v>
      </c>
      <c r="B794">
        <v>1342</v>
      </c>
      <c r="C794">
        <v>899</v>
      </c>
      <c r="D794">
        <v>879</v>
      </c>
      <c r="E794" t="s">
        <v>66</v>
      </c>
      <c r="F794" t="b">
        <v>0</v>
      </c>
      <c r="G794" t="b">
        <v>0</v>
      </c>
      <c r="H794">
        <v>1</v>
      </c>
      <c r="I794">
        <v>3.6829999999999998</v>
      </c>
      <c r="J794" t="s">
        <v>159</v>
      </c>
      <c r="K794" t="s">
        <v>159</v>
      </c>
      <c r="L794" t="s">
        <v>159</v>
      </c>
      <c r="M794" t="s">
        <v>159</v>
      </c>
      <c r="N794" t="s">
        <v>159</v>
      </c>
      <c r="O794" t="s">
        <v>159</v>
      </c>
      <c r="P794" t="s">
        <v>159</v>
      </c>
      <c r="Q794" t="s">
        <v>159</v>
      </c>
    </row>
    <row r="795" spans="1:17">
      <c r="A795">
        <v>1365</v>
      </c>
      <c r="B795">
        <v>1343.7</v>
      </c>
      <c r="C795">
        <v>900</v>
      </c>
      <c r="D795">
        <v>880</v>
      </c>
      <c r="E795" t="s">
        <v>66</v>
      </c>
      <c r="F795" t="b">
        <v>0</v>
      </c>
      <c r="G795" t="b">
        <v>0</v>
      </c>
      <c r="H795">
        <v>1.7</v>
      </c>
      <c r="I795">
        <v>3.6829999999999998</v>
      </c>
      <c r="J795" t="s">
        <v>159</v>
      </c>
      <c r="K795" t="s">
        <v>159</v>
      </c>
      <c r="L795" t="s">
        <v>159</v>
      </c>
      <c r="M795" t="s">
        <v>159</v>
      </c>
      <c r="N795" t="s">
        <v>159</v>
      </c>
      <c r="O795" t="s">
        <v>159</v>
      </c>
      <c r="P795" t="s">
        <v>159</v>
      </c>
      <c r="Q795" t="s">
        <v>159</v>
      </c>
    </row>
    <row r="796" spans="1:17">
      <c r="A796">
        <v>1366</v>
      </c>
      <c r="B796">
        <v>1344.7</v>
      </c>
      <c r="C796">
        <v>901</v>
      </c>
      <c r="D796">
        <v>881</v>
      </c>
      <c r="E796" t="s">
        <v>66</v>
      </c>
      <c r="F796" t="b">
        <v>0</v>
      </c>
      <c r="G796" t="b">
        <v>0</v>
      </c>
      <c r="H796">
        <v>1</v>
      </c>
      <c r="I796">
        <v>3.6829999999999998</v>
      </c>
      <c r="J796" t="s">
        <v>159</v>
      </c>
      <c r="K796" t="s">
        <v>159</v>
      </c>
      <c r="L796" t="s">
        <v>159</v>
      </c>
      <c r="M796" t="s">
        <v>159</v>
      </c>
      <c r="N796" t="s">
        <v>159</v>
      </c>
      <c r="O796" t="s">
        <v>159</v>
      </c>
      <c r="P796" t="s">
        <v>159</v>
      </c>
      <c r="Q796" t="s">
        <v>159</v>
      </c>
    </row>
    <row r="797" spans="1:17">
      <c r="A797">
        <v>1368</v>
      </c>
      <c r="B797">
        <v>1346.6</v>
      </c>
      <c r="C797">
        <v>902</v>
      </c>
      <c r="D797">
        <v>882</v>
      </c>
      <c r="E797" t="s">
        <v>66</v>
      </c>
      <c r="F797" t="b">
        <v>0</v>
      </c>
      <c r="G797" t="b">
        <v>0</v>
      </c>
      <c r="H797">
        <v>1.9</v>
      </c>
      <c r="I797">
        <v>3.6829999999999998</v>
      </c>
      <c r="J797" t="s">
        <v>159</v>
      </c>
      <c r="K797" t="s">
        <v>159</v>
      </c>
      <c r="L797" t="s">
        <v>159</v>
      </c>
      <c r="M797" t="s">
        <v>159</v>
      </c>
      <c r="N797" t="s">
        <v>159</v>
      </c>
      <c r="O797" t="s">
        <v>159</v>
      </c>
      <c r="P797" t="s">
        <v>159</v>
      </c>
      <c r="Q797" t="s">
        <v>159</v>
      </c>
    </row>
    <row r="798" spans="1:17">
      <c r="A798">
        <v>1368.9</v>
      </c>
      <c r="B798">
        <v>1347.6</v>
      </c>
      <c r="C798">
        <v>903</v>
      </c>
      <c r="D798">
        <v>883</v>
      </c>
      <c r="E798" t="s">
        <v>66</v>
      </c>
      <c r="F798" t="b">
        <v>0</v>
      </c>
      <c r="G798" t="b">
        <v>0</v>
      </c>
      <c r="H798">
        <v>1</v>
      </c>
      <c r="I798">
        <v>3.6829999999999998</v>
      </c>
      <c r="J798" t="s">
        <v>159</v>
      </c>
      <c r="K798" t="s">
        <v>159</v>
      </c>
      <c r="L798" t="s">
        <v>159</v>
      </c>
      <c r="M798" t="s">
        <v>159</v>
      </c>
      <c r="N798" t="s">
        <v>159</v>
      </c>
      <c r="O798" t="s">
        <v>159</v>
      </c>
      <c r="P798" t="s">
        <v>159</v>
      </c>
      <c r="Q798" t="s">
        <v>159</v>
      </c>
    </row>
    <row r="799" spans="1:17">
      <c r="A799">
        <v>1369.9</v>
      </c>
      <c r="B799">
        <v>1348.6</v>
      </c>
      <c r="C799">
        <v>904</v>
      </c>
      <c r="D799">
        <v>884</v>
      </c>
      <c r="E799" t="s">
        <v>66</v>
      </c>
      <c r="F799" t="b">
        <v>0</v>
      </c>
      <c r="G799" t="b">
        <v>0</v>
      </c>
      <c r="H799">
        <v>1</v>
      </c>
      <c r="I799">
        <v>3.6829999999999998</v>
      </c>
      <c r="J799" t="s">
        <v>159</v>
      </c>
      <c r="K799" t="s">
        <v>159</v>
      </c>
      <c r="L799" t="s">
        <v>159</v>
      </c>
      <c r="M799" t="s">
        <v>159</v>
      </c>
      <c r="N799" t="s">
        <v>159</v>
      </c>
      <c r="O799" t="s">
        <v>159</v>
      </c>
      <c r="P799" t="s">
        <v>159</v>
      </c>
      <c r="Q799" t="s">
        <v>159</v>
      </c>
    </row>
    <row r="800" spans="1:17">
      <c r="A800">
        <v>1371.4</v>
      </c>
      <c r="B800">
        <v>1350</v>
      </c>
      <c r="C800">
        <v>905</v>
      </c>
      <c r="D800">
        <v>885</v>
      </c>
      <c r="E800" t="s">
        <v>66</v>
      </c>
      <c r="F800" t="b">
        <v>0</v>
      </c>
      <c r="G800" t="b">
        <v>0</v>
      </c>
      <c r="H800">
        <v>1.5</v>
      </c>
      <c r="I800">
        <v>3.6829999999999998</v>
      </c>
      <c r="J800" t="s">
        <v>159</v>
      </c>
      <c r="K800" t="s">
        <v>159</v>
      </c>
      <c r="L800" t="s">
        <v>159</v>
      </c>
      <c r="M800" t="s">
        <v>159</v>
      </c>
      <c r="N800" t="s">
        <v>159</v>
      </c>
      <c r="O800" t="s">
        <v>159</v>
      </c>
      <c r="P800" t="s">
        <v>159</v>
      </c>
      <c r="Q800" t="s">
        <v>159</v>
      </c>
    </row>
    <row r="801" spans="1:17">
      <c r="A801">
        <v>1373.7</v>
      </c>
      <c r="B801">
        <v>1352.4</v>
      </c>
      <c r="C801">
        <v>907</v>
      </c>
      <c r="D801">
        <v>886</v>
      </c>
      <c r="E801" t="s">
        <v>66</v>
      </c>
      <c r="F801" t="b">
        <v>0</v>
      </c>
      <c r="G801" t="b">
        <v>0</v>
      </c>
      <c r="H801">
        <v>2.2999999999999998</v>
      </c>
      <c r="I801">
        <v>3.6829999999999998</v>
      </c>
      <c r="J801" t="s">
        <v>159</v>
      </c>
      <c r="K801" t="s">
        <v>159</v>
      </c>
      <c r="L801" t="s">
        <v>159</v>
      </c>
      <c r="M801" t="s">
        <v>159</v>
      </c>
      <c r="N801" t="s">
        <v>159</v>
      </c>
      <c r="O801" t="s">
        <v>159</v>
      </c>
      <c r="P801" t="s">
        <v>159</v>
      </c>
      <c r="Q801" t="s">
        <v>159</v>
      </c>
    </row>
    <row r="802" spans="1:17">
      <c r="A802">
        <v>1375.4</v>
      </c>
      <c r="B802">
        <v>1354.1</v>
      </c>
      <c r="C802">
        <v>908</v>
      </c>
      <c r="D802">
        <v>887</v>
      </c>
      <c r="E802" t="s">
        <v>66</v>
      </c>
      <c r="F802" t="b">
        <v>0</v>
      </c>
      <c r="G802" t="b">
        <v>0</v>
      </c>
      <c r="H802">
        <v>1.7</v>
      </c>
      <c r="I802">
        <v>3.6829999999999998</v>
      </c>
      <c r="J802" t="s">
        <v>159</v>
      </c>
      <c r="K802" t="s">
        <v>159</v>
      </c>
      <c r="L802" t="s">
        <v>159</v>
      </c>
      <c r="M802" t="s">
        <v>159</v>
      </c>
      <c r="N802" t="s">
        <v>159</v>
      </c>
      <c r="O802" t="s">
        <v>159</v>
      </c>
      <c r="P802" t="s">
        <v>159</v>
      </c>
      <c r="Q802" t="s">
        <v>159</v>
      </c>
    </row>
    <row r="803" spans="1:17">
      <c r="A803">
        <v>1376.3</v>
      </c>
      <c r="B803">
        <v>1354.9</v>
      </c>
      <c r="C803">
        <v>908</v>
      </c>
      <c r="D803">
        <v>888</v>
      </c>
      <c r="E803" t="s">
        <v>66</v>
      </c>
      <c r="F803" t="b">
        <v>0</v>
      </c>
      <c r="G803" t="b">
        <v>0</v>
      </c>
      <c r="H803">
        <v>0.9</v>
      </c>
      <c r="I803">
        <v>3.6829999999999998</v>
      </c>
      <c r="J803" t="s">
        <v>159</v>
      </c>
      <c r="K803" t="s">
        <v>159</v>
      </c>
      <c r="L803" t="s">
        <v>159</v>
      </c>
      <c r="M803" t="s">
        <v>159</v>
      </c>
      <c r="N803" t="s">
        <v>159</v>
      </c>
      <c r="O803" t="s">
        <v>159</v>
      </c>
      <c r="P803" t="s">
        <v>159</v>
      </c>
      <c r="Q803" t="s">
        <v>159</v>
      </c>
    </row>
    <row r="804" spans="1:17">
      <c r="A804">
        <v>1377.4</v>
      </c>
      <c r="B804">
        <v>1356</v>
      </c>
      <c r="C804">
        <v>909</v>
      </c>
      <c r="D804">
        <v>889</v>
      </c>
      <c r="E804" t="s">
        <v>66</v>
      </c>
      <c r="F804" t="b">
        <v>0</v>
      </c>
      <c r="G804" t="b">
        <v>0</v>
      </c>
      <c r="H804">
        <v>1.1000000000000001</v>
      </c>
      <c r="I804">
        <v>3.6829999999999998</v>
      </c>
      <c r="J804" t="s">
        <v>159</v>
      </c>
      <c r="K804" t="s">
        <v>159</v>
      </c>
      <c r="L804" t="s">
        <v>159</v>
      </c>
      <c r="M804" t="s">
        <v>159</v>
      </c>
      <c r="N804" t="s">
        <v>159</v>
      </c>
      <c r="O804" t="s">
        <v>159</v>
      </c>
      <c r="P804" t="s">
        <v>159</v>
      </c>
      <c r="Q804" t="s">
        <v>159</v>
      </c>
    </row>
    <row r="805" spans="1:17">
      <c r="A805">
        <v>1378.8</v>
      </c>
      <c r="B805">
        <v>1357.5</v>
      </c>
      <c r="C805">
        <v>910</v>
      </c>
      <c r="D805">
        <v>890</v>
      </c>
      <c r="E805" t="s">
        <v>66</v>
      </c>
      <c r="F805" t="b">
        <v>0</v>
      </c>
      <c r="G805" t="b">
        <v>0</v>
      </c>
      <c r="H805">
        <v>1.5</v>
      </c>
      <c r="I805">
        <v>3.6829999999999998</v>
      </c>
      <c r="J805" t="s">
        <v>159</v>
      </c>
      <c r="K805" t="s">
        <v>159</v>
      </c>
      <c r="L805" t="s">
        <v>159</v>
      </c>
      <c r="M805" t="s">
        <v>159</v>
      </c>
      <c r="N805" t="s">
        <v>159</v>
      </c>
      <c r="O805" t="s">
        <v>159</v>
      </c>
      <c r="P805" t="s">
        <v>159</v>
      </c>
      <c r="Q805" t="s">
        <v>159</v>
      </c>
    </row>
    <row r="806" spans="1:17">
      <c r="A806">
        <v>1383.7</v>
      </c>
      <c r="B806">
        <v>1362.3</v>
      </c>
      <c r="C806">
        <v>914</v>
      </c>
      <c r="D806">
        <v>893</v>
      </c>
      <c r="E806" t="s">
        <v>66</v>
      </c>
      <c r="F806" t="b">
        <v>0</v>
      </c>
      <c r="G806" t="b">
        <v>1</v>
      </c>
      <c r="H806">
        <v>4.8</v>
      </c>
      <c r="I806" t="s">
        <v>159</v>
      </c>
      <c r="J806" t="s">
        <v>159</v>
      </c>
      <c r="K806" t="s">
        <v>159</v>
      </c>
      <c r="L806" t="s">
        <v>159</v>
      </c>
      <c r="M806" t="s">
        <v>159</v>
      </c>
      <c r="N806" t="s">
        <v>159</v>
      </c>
      <c r="O806" t="s">
        <v>159</v>
      </c>
      <c r="P806" t="s">
        <v>159</v>
      </c>
      <c r="Q806" t="s">
        <v>159</v>
      </c>
    </row>
    <row r="807" spans="1:17">
      <c r="A807">
        <v>1384.4</v>
      </c>
      <c r="B807">
        <v>1363</v>
      </c>
      <c r="C807">
        <v>914</v>
      </c>
      <c r="D807">
        <v>894</v>
      </c>
      <c r="E807" t="s">
        <v>66</v>
      </c>
      <c r="F807" t="b">
        <v>0</v>
      </c>
      <c r="G807" t="b">
        <v>1</v>
      </c>
      <c r="H807">
        <v>0.7</v>
      </c>
      <c r="I807" t="s">
        <v>159</v>
      </c>
      <c r="J807" t="s">
        <v>159</v>
      </c>
      <c r="K807" t="s">
        <v>159</v>
      </c>
      <c r="L807" t="s">
        <v>159</v>
      </c>
      <c r="M807" t="s">
        <v>159</v>
      </c>
      <c r="N807" t="s">
        <v>159</v>
      </c>
      <c r="O807" t="s">
        <v>159</v>
      </c>
      <c r="P807" t="s">
        <v>159</v>
      </c>
      <c r="Q807" t="s">
        <v>159</v>
      </c>
    </row>
    <row r="808" spans="1:17">
      <c r="A808">
        <v>1386.3</v>
      </c>
      <c r="B808">
        <v>1364.9</v>
      </c>
      <c r="C808">
        <v>916</v>
      </c>
      <c r="D808">
        <v>895</v>
      </c>
      <c r="E808" t="s">
        <v>66</v>
      </c>
      <c r="F808" t="b">
        <v>0</v>
      </c>
      <c r="G808" t="b">
        <v>0</v>
      </c>
      <c r="H808">
        <v>1.9</v>
      </c>
      <c r="I808">
        <v>5.09</v>
      </c>
      <c r="J808" t="s">
        <v>159</v>
      </c>
      <c r="K808" t="s">
        <v>159</v>
      </c>
      <c r="L808" t="s">
        <v>159</v>
      </c>
      <c r="M808" t="s">
        <v>159</v>
      </c>
      <c r="N808" t="s">
        <v>159</v>
      </c>
      <c r="O808" t="s">
        <v>159</v>
      </c>
      <c r="P808" t="s">
        <v>159</v>
      </c>
      <c r="Q808" t="s">
        <v>159</v>
      </c>
    </row>
    <row r="809" spans="1:17">
      <c r="A809">
        <v>1388.2</v>
      </c>
      <c r="B809">
        <v>1366.8</v>
      </c>
      <c r="C809">
        <v>917</v>
      </c>
      <c r="D809">
        <v>896</v>
      </c>
      <c r="E809" t="s">
        <v>66</v>
      </c>
      <c r="F809" t="b">
        <v>0</v>
      </c>
      <c r="G809" t="b">
        <v>0</v>
      </c>
      <c r="H809">
        <v>1.9</v>
      </c>
      <c r="I809">
        <v>5.09</v>
      </c>
      <c r="J809" t="s">
        <v>159</v>
      </c>
      <c r="K809" t="s">
        <v>159</v>
      </c>
      <c r="L809" t="s">
        <v>159</v>
      </c>
      <c r="M809" t="s">
        <v>159</v>
      </c>
      <c r="N809" t="s">
        <v>159</v>
      </c>
      <c r="O809" t="s">
        <v>159</v>
      </c>
      <c r="P809" t="s">
        <v>159</v>
      </c>
      <c r="Q809" t="s">
        <v>159</v>
      </c>
    </row>
    <row r="810" spans="1:17">
      <c r="A810">
        <v>1389.1</v>
      </c>
      <c r="B810">
        <v>1367.7</v>
      </c>
      <c r="C810">
        <v>918</v>
      </c>
      <c r="D810">
        <v>897</v>
      </c>
      <c r="E810" t="s">
        <v>66</v>
      </c>
      <c r="F810" t="b">
        <v>0</v>
      </c>
      <c r="G810" t="b">
        <v>0</v>
      </c>
      <c r="H810">
        <v>0.9</v>
      </c>
      <c r="I810">
        <v>5.09</v>
      </c>
      <c r="J810" t="s">
        <v>159</v>
      </c>
      <c r="K810" t="s">
        <v>159</v>
      </c>
      <c r="L810" t="s">
        <v>159</v>
      </c>
      <c r="M810" t="s">
        <v>159</v>
      </c>
      <c r="N810" t="s">
        <v>159</v>
      </c>
      <c r="O810" t="s">
        <v>159</v>
      </c>
      <c r="P810" t="s">
        <v>159</v>
      </c>
      <c r="Q810" t="s">
        <v>159</v>
      </c>
    </row>
    <row r="811" spans="1:17">
      <c r="A811">
        <v>1390.8</v>
      </c>
      <c r="B811">
        <v>1369.4</v>
      </c>
      <c r="C811">
        <v>919</v>
      </c>
      <c r="D811">
        <v>898</v>
      </c>
      <c r="E811" t="s">
        <v>66</v>
      </c>
      <c r="F811" t="b">
        <v>0</v>
      </c>
      <c r="G811" t="b">
        <v>0</v>
      </c>
      <c r="H811">
        <v>1.7</v>
      </c>
      <c r="I811">
        <v>5.09</v>
      </c>
      <c r="J811" t="s">
        <v>159</v>
      </c>
      <c r="K811" t="s">
        <v>159</v>
      </c>
      <c r="L811" t="s">
        <v>159</v>
      </c>
      <c r="M811" t="s">
        <v>159</v>
      </c>
      <c r="N811" t="s">
        <v>159</v>
      </c>
      <c r="O811" t="s">
        <v>159</v>
      </c>
      <c r="P811" t="s">
        <v>159</v>
      </c>
      <c r="Q811" t="s">
        <v>159</v>
      </c>
    </row>
    <row r="812" spans="1:17">
      <c r="A812">
        <v>1392.4</v>
      </c>
      <c r="B812">
        <v>1371.1</v>
      </c>
      <c r="C812">
        <v>920</v>
      </c>
      <c r="D812">
        <v>899</v>
      </c>
      <c r="E812" t="s">
        <v>66</v>
      </c>
      <c r="F812" t="b">
        <v>0</v>
      </c>
      <c r="G812" t="b">
        <v>0</v>
      </c>
      <c r="H812">
        <v>1.7</v>
      </c>
      <c r="I812">
        <v>5.09</v>
      </c>
      <c r="J812" t="s">
        <v>159</v>
      </c>
      <c r="K812" t="s">
        <v>159</v>
      </c>
      <c r="L812" t="s">
        <v>159</v>
      </c>
      <c r="M812" t="s">
        <v>159</v>
      </c>
      <c r="N812" t="s">
        <v>159</v>
      </c>
      <c r="O812" t="s">
        <v>159</v>
      </c>
      <c r="P812" t="s">
        <v>159</v>
      </c>
      <c r="Q812" t="s">
        <v>159</v>
      </c>
    </row>
    <row r="813" spans="1:17">
      <c r="A813">
        <v>1393.9</v>
      </c>
      <c r="B813">
        <v>1372.5</v>
      </c>
      <c r="C813">
        <v>921</v>
      </c>
      <c r="D813">
        <v>900</v>
      </c>
      <c r="E813" t="s">
        <v>66</v>
      </c>
      <c r="F813" t="b">
        <v>0</v>
      </c>
      <c r="G813" t="b">
        <v>0</v>
      </c>
      <c r="H813">
        <v>1.4</v>
      </c>
      <c r="I813">
        <v>5.09</v>
      </c>
      <c r="J813" t="s">
        <v>159</v>
      </c>
      <c r="K813" t="s">
        <v>159</v>
      </c>
      <c r="L813" t="s">
        <v>159</v>
      </c>
      <c r="M813" t="s">
        <v>159</v>
      </c>
      <c r="N813" t="s">
        <v>159</v>
      </c>
      <c r="O813" t="s">
        <v>159</v>
      </c>
      <c r="P813" t="s">
        <v>159</v>
      </c>
      <c r="Q813" t="s">
        <v>159</v>
      </c>
    </row>
    <row r="814" spans="1:17">
      <c r="A814">
        <v>1395.2</v>
      </c>
      <c r="B814">
        <v>1373.9</v>
      </c>
      <c r="C814">
        <v>922</v>
      </c>
      <c r="D814">
        <v>901</v>
      </c>
      <c r="E814" t="s">
        <v>66</v>
      </c>
      <c r="F814" t="b">
        <v>0</v>
      </c>
      <c r="G814" t="b">
        <v>0</v>
      </c>
      <c r="H814">
        <v>1.4</v>
      </c>
      <c r="I814">
        <v>5.09</v>
      </c>
      <c r="J814">
        <v>0.80300000000000005</v>
      </c>
      <c r="K814">
        <v>2.88</v>
      </c>
      <c r="L814">
        <v>6.11</v>
      </c>
      <c r="M814">
        <v>11.9</v>
      </c>
      <c r="N814">
        <v>20.399999999999999</v>
      </c>
      <c r="O814">
        <v>18.73</v>
      </c>
      <c r="P814">
        <v>81.150000000000006</v>
      </c>
      <c r="Q814">
        <v>0.12</v>
      </c>
    </row>
    <row r="815" spans="1:17">
      <c r="A815">
        <v>1396.6</v>
      </c>
      <c r="B815">
        <v>1375.2</v>
      </c>
      <c r="C815">
        <v>923</v>
      </c>
      <c r="D815">
        <v>902</v>
      </c>
      <c r="E815" t="s">
        <v>66</v>
      </c>
      <c r="F815" t="b">
        <v>0</v>
      </c>
      <c r="G815" t="b">
        <v>0</v>
      </c>
      <c r="H815">
        <v>1.3</v>
      </c>
      <c r="I815">
        <v>5.09</v>
      </c>
      <c r="J815">
        <v>0.80300000000000005</v>
      </c>
      <c r="K815">
        <v>2.88</v>
      </c>
      <c r="L815">
        <v>6.11</v>
      </c>
      <c r="M815">
        <v>11.9</v>
      </c>
      <c r="N815">
        <v>20.399999999999999</v>
      </c>
      <c r="O815">
        <v>18.73</v>
      </c>
      <c r="P815">
        <v>81.150000000000006</v>
      </c>
      <c r="Q815">
        <v>0.12</v>
      </c>
    </row>
    <row r="816" spans="1:17">
      <c r="A816">
        <v>1397.7</v>
      </c>
      <c r="B816">
        <v>1376.3</v>
      </c>
      <c r="C816">
        <v>924</v>
      </c>
      <c r="D816">
        <v>903</v>
      </c>
      <c r="E816" t="s">
        <v>66</v>
      </c>
      <c r="F816" t="b">
        <v>0</v>
      </c>
      <c r="G816" t="b">
        <v>0</v>
      </c>
      <c r="H816">
        <v>1.1000000000000001</v>
      </c>
      <c r="I816">
        <v>5.09</v>
      </c>
      <c r="J816">
        <v>0.80300000000000005</v>
      </c>
      <c r="K816">
        <v>2.88</v>
      </c>
      <c r="L816">
        <v>6.11</v>
      </c>
      <c r="M816">
        <v>11.9</v>
      </c>
      <c r="N816">
        <v>20.399999999999999</v>
      </c>
      <c r="O816">
        <v>18.73</v>
      </c>
      <c r="P816">
        <v>81.150000000000006</v>
      </c>
      <c r="Q816">
        <v>0.12</v>
      </c>
    </row>
    <row r="817" spans="1:17">
      <c r="A817">
        <v>1398.8</v>
      </c>
      <c r="B817">
        <v>1377.4</v>
      </c>
      <c r="C817">
        <v>925</v>
      </c>
      <c r="D817">
        <v>904</v>
      </c>
      <c r="E817" t="s">
        <v>66</v>
      </c>
      <c r="F817" t="b">
        <v>0</v>
      </c>
      <c r="G817" t="b">
        <v>0</v>
      </c>
      <c r="H817">
        <v>1.1000000000000001</v>
      </c>
      <c r="I817">
        <v>5.09</v>
      </c>
      <c r="J817">
        <v>0.80300000000000005</v>
      </c>
      <c r="K817">
        <v>2.88</v>
      </c>
      <c r="L817">
        <v>6.11</v>
      </c>
      <c r="M817">
        <v>11.9</v>
      </c>
      <c r="N817">
        <v>20.399999999999999</v>
      </c>
      <c r="O817">
        <v>18.73</v>
      </c>
      <c r="P817">
        <v>81.150000000000006</v>
      </c>
      <c r="Q817">
        <v>0.12</v>
      </c>
    </row>
    <row r="818" spans="1:17">
      <c r="A818">
        <v>1400</v>
      </c>
      <c r="B818">
        <v>1378.6</v>
      </c>
      <c r="C818">
        <v>925</v>
      </c>
      <c r="D818">
        <v>905</v>
      </c>
      <c r="E818" t="s">
        <v>66</v>
      </c>
      <c r="F818" t="b">
        <v>0</v>
      </c>
      <c r="G818" t="b">
        <v>0</v>
      </c>
      <c r="H818">
        <v>1.2</v>
      </c>
      <c r="I818">
        <v>5.09</v>
      </c>
      <c r="J818">
        <v>0.80300000000000005</v>
      </c>
      <c r="K818">
        <v>2.88</v>
      </c>
      <c r="L818">
        <v>6.11</v>
      </c>
      <c r="M818">
        <v>11.9</v>
      </c>
      <c r="N818">
        <v>20.399999999999999</v>
      </c>
      <c r="O818">
        <v>18.73</v>
      </c>
      <c r="P818">
        <v>81.150000000000006</v>
      </c>
      <c r="Q818">
        <v>0.12</v>
      </c>
    </row>
    <row r="819" spans="1:17">
      <c r="A819">
        <v>1401.8</v>
      </c>
      <c r="B819">
        <v>1380.5</v>
      </c>
      <c r="C819">
        <v>927</v>
      </c>
      <c r="D819">
        <v>906</v>
      </c>
      <c r="E819" t="s">
        <v>66</v>
      </c>
      <c r="F819" t="b">
        <v>0</v>
      </c>
      <c r="G819" t="b">
        <v>0</v>
      </c>
      <c r="H819">
        <v>1.8</v>
      </c>
      <c r="I819">
        <v>5.09</v>
      </c>
      <c r="J819">
        <v>0.80300000000000005</v>
      </c>
      <c r="K819">
        <v>2.88</v>
      </c>
      <c r="L819">
        <v>6.11</v>
      </c>
      <c r="M819">
        <v>11.9</v>
      </c>
      <c r="N819">
        <v>20.399999999999999</v>
      </c>
      <c r="O819">
        <v>18.73</v>
      </c>
      <c r="P819">
        <v>81.150000000000006</v>
      </c>
      <c r="Q819">
        <v>0.12</v>
      </c>
    </row>
    <row r="820" spans="1:17">
      <c r="A820">
        <v>1403</v>
      </c>
      <c r="B820">
        <v>1381.6</v>
      </c>
      <c r="C820">
        <v>928</v>
      </c>
      <c r="D820">
        <v>907</v>
      </c>
      <c r="E820" t="s">
        <v>66</v>
      </c>
      <c r="F820" t="b">
        <v>0</v>
      </c>
      <c r="G820" t="b">
        <v>0</v>
      </c>
      <c r="H820">
        <v>1.2</v>
      </c>
      <c r="I820">
        <v>5.09</v>
      </c>
      <c r="J820">
        <v>0.80300000000000005</v>
      </c>
      <c r="K820">
        <v>2.88</v>
      </c>
      <c r="L820">
        <v>6.11</v>
      </c>
      <c r="M820">
        <v>11.9</v>
      </c>
      <c r="N820">
        <v>20.399999999999999</v>
      </c>
      <c r="O820">
        <v>18.73</v>
      </c>
      <c r="P820">
        <v>81.150000000000006</v>
      </c>
      <c r="Q820">
        <v>0.12</v>
      </c>
    </row>
    <row r="821" spans="1:17">
      <c r="A821">
        <v>1404.1</v>
      </c>
      <c r="B821">
        <v>1382.7</v>
      </c>
      <c r="C821">
        <v>928</v>
      </c>
      <c r="D821">
        <v>908</v>
      </c>
      <c r="E821" t="s">
        <v>66</v>
      </c>
      <c r="F821" t="b">
        <v>0</v>
      </c>
      <c r="G821" t="b">
        <v>0</v>
      </c>
      <c r="H821">
        <v>1.1000000000000001</v>
      </c>
      <c r="I821">
        <v>5.09</v>
      </c>
      <c r="J821">
        <v>0.80300000000000005</v>
      </c>
      <c r="K821">
        <v>2.88</v>
      </c>
      <c r="L821">
        <v>6.11</v>
      </c>
      <c r="M821">
        <v>11.9</v>
      </c>
      <c r="N821">
        <v>20.399999999999999</v>
      </c>
      <c r="O821">
        <v>18.73</v>
      </c>
      <c r="P821">
        <v>81.150000000000006</v>
      </c>
      <c r="Q821">
        <v>0.12</v>
      </c>
    </row>
    <row r="822" spans="1:17">
      <c r="A822">
        <v>1405.6</v>
      </c>
      <c r="B822">
        <v>1384.3</v>
      </c>
      <c r="C822">
        <v>929</v>
      </c>
      <c r="D822">
        <v>909</v>
      </c>
      <c r="E822" t="s">
        <v>66</v>
      </c>
      <c r="F822" t="b">
        <v>0</v>
      </c>
      <c r="G822" t="b">
        <v>0</v>
      </c>
      <c r="H822">
        <v>1.6</v>
      </c>
      <c r="I822" t="s">
        <v>159</v>
      </c>
      <c r="J822">
        <v>0.80300000000000005</v>
      </c>
      <c r="K822">
        <v>2.88</v>
      </c>
      <c r="L822">
        <v>6.11</v>
      </c>
      <c r="M822">
        <v>11.9</v>
      </c>
      <c r="N822">
        <v>20.399999999999999</v>
      </c>
      <c r="O822">
        <v>18.73</v>
      </c>
      <c r="P822">
        <v>81.150000000000006</v>
      </c>
      <c r="Q822">
        <v>0.12</v>
      </c>
    </row>
    <row r="823" spans="1:17">
      <c r="A823">
        <v>1407.1</v>
      </c>
      <c r="B823">
        <v>1385.8</v>
      </c>
      <c r="C823">
        <v>931</v>
      </c>
      <c r="D823">
        <v>910</v>
      </c>
      <c r="E823" t="s">
        <v>66</v>
      </c>
      <c r="F823" t="b">
        <v>0</v>
      </c>
      <c r="G823" t="b">
        <v>0</v>
      </c>
      <c r="H823">
        <v>1.5</v>
      </c>
      <c r="I823" t="s">
        <v>159</v>
      </c>
      <c r="J823">
        <v>0.80300000000000005</v>
      </c>
      <c r="K823">
        <v>2.88</v>
      </c>
      <c r="L823">
        <v>6.11</v>
      </c>
      <c r="M823">
        <v>11.9</v>
      </c>
      <c r="N823">
        <v>20.399999999999999</v>
      </c>
      <c r="O823">
        <v>18.73</v>
      </c>
      <c r="P823">
        <v>81.150000000000006</v>
      </c>
      <c r="Q823">
        <v>0.12</v>
      </c>
    </row>
    <row r="824" spans="1:17">
      <c r="A824">
        <v>1411.5</v>
      </c>
      <c r="B824">
        <v>1390.1</v>
      </c>
      <c r="C824">
        <v>934</v>
      </c>
      <c r="D824">
        <v>914</v>
      </c>
      <c r="E824" t="s">
        <v>66</v>
      </c>
      <c r="F824" t="b">
        <v>0</v>
      </c>
      <c r="G824" t="b">
        <v>1</v>
      </c>
      <c r="H824">
        <v>4.4000000000000004</v>
      </c>
      <c r="I824">
        <v>4.3840000000000003</v>
      </c>
      <c r="J824">
        <v>0.80300000000000005</v>
      </c>
      <c r="K824">
        <v>2.88</v>
      </c>
      <c r="L824">
        <v>6.11</v>
      </c>
      <c r="M824">
        <v>11.9</v>
      </c>
      <c r="N824">
        <v>20.399999999999999</v>
      </c>
      <c r="O824">
        <v>18.73</v>
      </c>
      <c r="P824">
        <v>81.150000000000006</v>
      </c>
      <c r="Q824">
        <v>0.12</v>
      </c>
    </row>
    <row r="825" spans="1:17">
      <c r="A825">
        <v>1411.9</v>
      </c>
      <c r="B825">
        <v>1390.6</v>
      </c>
      <c r="C825">
        <v>934</v>
      </c>
      <c r="D825">
        <v>914</v>
      </c>
      <c r="E825" t="s">
        <v>66</v>
      </c>
      <c r="F825" t="b">
        <v>0</v>
      </c>
      <c r="G825" t="b">
        <v>1</v>
      </c>
      <c r="H825">
        <v>0.4</v>
      </c>
      <c r="I825">
        <v>4.3840000000000003</v>
      </c>
      <c r="J825">
        <v>0.80300000000000005</v>
      </c>
      <c r="K825">
        <v>2.88</v>
      </c>
      <c r="L825">
        <v>6.11</v>
      </c>
      <c r="M825">
        <v>11.9</v>
      </c>
      <c r="N825">
        <v>20.399999999999999</v>
      </c>
      <c r="O825">
        <v>18.73</v>
      </c>
      <c r="P825">
        <v>81.150000000000006</v>
      </c>
      <c r="Q825">
        <v>0.12</v>
      </c>
    </row>
    <row r="826" spans="1:17">
      <c r="A826">
        <v>1413.2</v>
      </c>
      <c r="B826">
        <v>1391.8</v>
      </c>
      <c r="C826">
        <v>935</v>
      </c>
      <c r="D826">
        <v>915</v>
      </c>
      <c r="E826" t="s">
        <v>66</v>
      </c>
      <c r="F826" t="b">
        <v>0</v>
      </c>
      <c r="G826" t="b">
        <v>0</v>
      </c>
      <c r="H826">
        <v>1.3</v>
      </c>
      <c r="I826">
        <v>4.3840000000000003</v>
      </c>
      <c r="J826">
        <v>0.80300000000000005</v>
      </c>
      <c r="K826">
        <v>2.88</v>
      </c>
      <c r="L826">
        <v>6.11</v>
      </c>
      <c r="M826">
        <v>11.9</v>
      </c>
      <c r="N826">
        <v>20.399999999999999</v>
      </c>
      <c r="O826">
        <v>18.73</v>
      </c>
      <c r="P826">
        <v>81.150000000000006</v>
      </c>
      <c r="Q826">
        <v>0.12</v>
      </c>
    </row>
    <row r="827" spans="1:17">
      <c r="A827">
        <v>1414.4</v>
      </c>
      <c r="B827">
        <v>1393</v>
      </c>
      <c r="C827">
        <v>936</v>
      </c>
      <c r="D827">
        <v>916</v>
      </c>
      <c r="E827" t="s">
        <v>66</v>
      </c>
      <c r="F827" t="b">
        <v>0</v>
      </c>
      <c r="G827" t="b">
        <v>0</v>
      </c>
      <c r="H827">
        <v>1.1000000000000001</v>
      </c>
      <c r="I827">
        <v>4.3840000000000003</v>
      </c>
      <c r="J827">
        <v>0.80300000000000005</v>
      </c>
      <c r="K827">
        <v>2.88</v>
      </c>
      <c r="L827">
        <v>6.11</v>
      </c>
      <c r="M827">
        <v>11.9</v>
      </c>
      <c r="N827">
        <v>20.399999999999999</v>
      </c>
      <c r="O827">
        <v>18.73</v>
      </c>
      <c r="P827">
        <v>81.150000000000006</v>
      </c>
      <c r="Q827">
        <v>0.12</v>
      </c>
    </row>
    <row r="828" spans="1:17">
      <c r="A828">
        <v>1415.5</v>
      </c>
      <c r="B828">
        <v>1394.2</v>
      </c>
      <c r="C828">
        <v>937</v>
      </c>
      <c r="D828">
        <v>917</v>
      </c>
      <c r="E828" t="s">
        <v>66</v>
      </c>
      <c r="F828" t="b">
        <v>0</v>
      </c>
      <c r="G828" t="b">
        <v>0</v>
      </c>
      <c r="H828">
        <v>1.2</v>
      </c>
      <c r="I828">
        <v>4.3840000000000003</v>
      </c>
      <c r="J828" t="s">
        <v>159</v>
      </c>
      <c r="K828" t="s">
        <v>159</v>
      </c>
      <c r="L828" t="s">
        <v>159</v>
      </c>
      <c r="M828" t="s">
        <v>159</v>
      </c>
      <c r="N828" t="s">
        <v>159</v>
      </c>
      <c r="O828" t="s">
        <v>159</v>
      </c>
      <c r="P828" t="s">
        <v>159</v>
      </c>
      <c r="Q828" t="s">
        <v>159</v>
      </c>
    </row>
    <row r="829" spans="1:17">
      <c r="A829">
        <v>1416.7</v>
      </c>
      <c r="B829">
        <v>1395.3</v>
      </c>
      <c r="C829">
        <v>937</v>
      </c>
      <c r="D829">
        <v>918</v>
      </c>
      <c r="E829" t="s">
        <v>66</v>
      </c>
      <c r="F829" t="b">
        <v>0</v>
      </c>
      <c r="G829" t="b">
        <v>0</v>
      </c>
      <c r="H829">
        <v>1.2</v>
      </c>
      <c r="I829">
        <v>4.3840000000000003</v>
      </c>
      <c r="J829" t="s">
        <v>159</v>
      </c>
      <c r="K829" t="s">
        <v>159</v>
      </c>
      <c r="L829" t="s">
        <v>159</v>
      </c>
      <c r="M829" t="s">
        <v>159</v>
      </c>
      <c r="N829" t="s">
        <v>159</v>
      </c>
      <c r="O829" t="s">
        <v>159</v>
      </c>
      <c r="P829" t="s">
        <v>159</v>
      </c>
      <c r="Q829" t="s">
        <v>159</v>
      </c>
    </row>
    <row r="830" spans="1:17">
      <c r="A830">
        <v>1417.8</v>
      </c>
      <c r="B830">
        <v>1396.4</v>
      </c>
      <c r="C830">
        <v>938</v>
      </c>
      <c r="D830">
        <v>919</v>
      </c>
      <c r="E830" t="s">
        <v>66</v>
      </c>
      <c r="F830" t="b">
        <v>0</v>
      </c>
      <c r="G830" t="b">
        <v>0</v>
      </c>
      <c r="H830">
        <v>1.1000000000000001</v>
      </c>
      <c r="I830">
        <v>4.3840000000000003</v>
      </c>
      <c r="J830" t="s">
        <v>159</v>
      </c>
      <c r="K830" t="s">
        <v>159</v>
      </c>
      <c r="L830" t="s">
        <v>159</v>
      </c>
      <c r="M830" t="s">
        <v>159</v>
      </c>
      <c r="N830" t="s">
        <v>159</v>
      </c>
      <c r="O830" t="s">
        <v>159</v>
      </c>
      <c r="P830" t="s">
        <v>159</v>
      </c>
      <c r="Q830" t="s">
        <v>159</v>
      </c>
    </row>
    <row r="831" spans="1:17">
      <c r="A831">
        <v>1418.9</v>
      </c>
      <c r="B831">
        <v>1397.6</v>
      </c>
      <c r="C831">
        <v>939</v>
      </c>
      <c r="D831">
        <v>920</v>
      </c>
      <c r="E831" t="s">
        <v>66</v>
      </c>
      <c r="F831" t="b">
        <v>0</v>
      </c>
      <c r="G831" t="b">
        <v>0</v>
      </c>
      <c r="H831">
        <v>1.1000000000000001</v>
      </c>
      <c r="I831">
        <v>4.3840000000000003</v>
      </c>
      <c r="J831" t="s">
        <v>159</v>
      </c>
      <c r="K831" t="s">
        <v>159</v>
      </c>
      <c r="L831" t="s">
        <v>159</v>
      </c>
      <c r="M831" t="s">
        <v>159</v>
      </c>
      <c r="N831" t="s">
        <v>159</v>
      </c>
      <c r="O831" t="s">
        <v>159</v>
      </c>
      <c r="P831" t="s">
        <v>159</v>
      </c>
      <c r="Q831" t="s">
        <v>159</v>
      </c>
    </row>
    <row r="832" spans="1:17">
      <c r="A832">
        <v>1419.7</v>
      </c>
      <c r="B832">
        <v>1398.4</v>
      </c>
      <c r="C832">
        <v>940</v>
      </c>
      <c r="D832">
        <v>921</v>
      </c>
      <c r="E832" t="s">
        <v>66</v>
      </c>
      <c r="F832" t="b">
        <v>0</v>
      </c>
      <c r="G832" t="b">
        <v>0</v>
      </c>
      <c r="H832">
        <v>0.8</v>
      </c>
      <c r="I832">
        <v>4.3840000000000003</v>
      </c>
      <c r="J832" t="s">
        <v>159</v>
      </c>
      <c r="K832" t="s">
        <v>159</v>
      </c>
      <c r="L832" t="s">
        <v>159</v>
      </c>
      <c r="M832" t="s">
        <v>159</v>
      </c>
      <c r="N832" t="s">
        <v>159</v>
      </c>
      <c r="O832" t="s">
        <v>159</v>
      </c>
      <c r="P832" t="s">
        <v>159</v>
      </c>
      <c r="Q832" t="s">
        <v>159</v>
      </c>
    </row>
    <row r="833" spans="1:17">
      <c r="A833">
        <v>1420.3</v>
      </c>
      <c r="B833">
        <v>1399</v>
      </c>
      <c r="C833">
        <v>940</v>
      </c>
      <c r="D833">
        <v>922</v>
      </c>
      <c r="E833" t="s">
        <v>66</v>
      </c>
      <c r="F833" t="b">
        <v>0</v>
      </c>
      <c r="G833" t="b">
        <v>0</v>
      </c>
      <c r="H833">
        <v>0.6</v>
      </c>
      <c r="I833">
        <v>4.3840000000000003</v>
      </c>
      <c r="J833" t="s">
        <v>159</v>
      </c>
      <c r="K833" t="s">
        <v>159</v>
      </c>
      <c r="L833" t="s">
        <v>159</v>
      </c>
      <c r="M833" t="s">
        <v>159</v>
      </c>
      <c r="N833" t="s">
        <v>159</v>
      </c>
      <c r="O833" t="s">
        <v>159</v>
      </c>
      <c r="P833" t="s">
        <v>159</v>
      </c>
      <c r="Q833" t="s">
        <v>159</v>
      </c>
    </row>
    <row r="834" spans="1:17">
      <c r="A834">
        <v>1421.5</v>
      </c>
      <c r="B834">
        <v>1400.1</v>
      </c>
      <c r="C834">
        <v>941</v>
      </c>
      <c r="D834">
        <v>923</v>
      </c>
      <c r="E834" t="s">
        <v>66</v>
      </c>
      <c r="F834" t="b">
        <v>0</v>
      </c>
      <c r="G834" t="b">
        <v>0</v>
      </c>
      <c r="H834">
        <v>1.2</v>
      </c>
      <c r="I834">
        <v>4.3840000000000003</v>
      </c>
      <c r="J834" t="s">
        <v>159</v>
      </c>
      <c r="K834" t="s">
        <v>159</v>
      </c>
      <c r="L834" t="s">
        <v>159</v>
      </c>
      <c r="M834" t="s">
        <v>159</v>
      </c>
      <c r="N834" t="s">
        <v>159</v>
      </c>
      <c r="O834" t="s">
        <v>159</v>
      </c>
      <c r="P834" t="s">
        <v>159</v>
      </c>
      <c r="Q834" t="s">
        <v>159</v>
      </c>
    </row>
    <row r="835" spans="1:17">
      <c r="A835">
        <v>1422.8</v>
      </c>
      <c r="B835">
        <v>1401.5</v>
      </c>
      <c r="C835">
        <v>942</v>
      </c>
      <c r="D835">
        <v>924</v>
      </c>
      <c r="E835" t="s">
        <v>66</v>
      </c>
      <c r="F835" t="b">
        <v>0</v>
      </c>
      <c r="G835" t="b">
        <v>0</v>
      </c>
      <c r="H835">
        <v>1.3</v>
      </c>
      <c r="I835">
        <v>4.3840000000000003</v>
      </c>
      <c r="J835" t="s">
        <v>159</v>
      </c>
      <c r="K835" t="s">
        <v>159</v>
      </c>
      <c r="L835" t="s">
        <v>159</v>
      </c>
      <c r="M835" t="s">
        <v>159</v>
      </c>
      <c r="N835" t="s">
        <v>159</v>
      </c>
      <c r="O835" t="s">
        <v>159</v>
      </c>
      <c r="P835" t="s">
        <v>159</v>
      </c>
      <c r="Q835" t="s">
        <v>159</v>
      </c>
    </row>
    <row r="836" spans="1:17">
      <c r="A836">
        <v>1424.1</v>
      </c>
      <c r="B836">
        <v>1402.7</v>
      </c>
      <c r="C836">
        <v>943</v>
      </c>
      <c r="D836">
        <v>925</v>
      </c>
      <c r="E836" t="s">
        <v>66</v>
      </c>
      <c r="F836" t="b">
        <v>0</v>
      </c>
      <c r="G836" t="b">
        <v>0</v>
      </c>
      <c r="H836">
        <v>1.2</v>
      </c>
      <c r="I836">
        <v>4.3840000000000003</v>
      </c>
      <c r="J836" t="s">
        <v>159</v>
      </c>
      <c r="K836" t="s">
        <v>159</v>
      </c>
      <c r="L836" t="s">
        <v>159</v>
      </c>
      <c r="M836" t="s">
        <v>159</v>
      </c>
      <c r="N836" t="s">
        <v>159</v>
      </c>
      <c r="O836" t="s">
        <v>159</v>
      </c>
      <c r="P836" t="s">
        <v>159</v>
      </c>
      <c r="Q836" t="s">
        <v>159</v>
      </c>
    </row>
    <row r="837" spans="1:17">
      <c r="A837">
        <v>1425.6</v>
      </c>
      <c r="B837">
        <v>1404.2</v>
      </c>
      <c r="C837">
        <v>944</v>
      </c>
      <c r="D837">
        <v>926</v>
      </c>
      <c r="E837" t="s">
        <v>66</v>
      </c>
      <c r="F837" t="b">
        <v>0</v>
      </c>
      <c r="G837" t="b">
        <v>0</v>
      </c>
      <c r="H837">
        <v>1.5</v>
      </c>
      <c r="I837">
        <v>4.3840000000000003</v>
      </c>
      <c r="J837" t="s">
        <v>159</v>
      </c>
      <c r="K837" t="s">
        <v>159</v>
      </c>
      <c r="L837" t="s">
        <v>159</v>
      </c>
      <c r="M837" t="s">
        <v>159</v>
      </c>
      <c r="N837" t="s">
        <v>159</v>
      </c>
      <c r="O837" t="s">
        <v>159</v>
      </c>
      <c r="P837" t="s">
        <v>159</v>
      </c>
      <c r="Q837" t="s">
        <v>159</v>
      </c>
    </row>
    <row r="838" spans="1:17">
      <c r="A838">
        <v>1435.3</v>
      </c>
      <c r="B838">
        <v>1413.9</v>
      </c>
      <c r="C838">
        <v>951</v>
      </c>
      <c r="D838">
        <v>933</v>
      </c>
      <c r="E838" t="s">
        <v>66</v>
      </c>
      <c r="F838" t="b">
        <v>0</v>
      </c>
      <c r="G838" t="b">
        <v>1</v>
      </c>
      <c r="H838">
        <v>9.6999999999999993</v>
      </c>
      <c r="I838" t="s">
        <v>159</v>
      </c>
      <c r="J838" t="s">
        <v>159</v>
      </c>
      <c r="K838" t="s">
        <v>159</v>
      </c>
      <c r="L838" t="s">
        <v>159</v>
      </c>
      <c r="M838" t="s">
        <v>159</v>
      </c>
      <c r="N838" t="s">
        <v>159</v>
      </c>
      <c r="O838" t="s">
        <v>159</v>
      </c>
      <c r="P838" t="s">
        <v>159</v>
      </c>
      <c r="Q838" t="s">
        <v>159</v>
      </c>
    </row>
    <row r="839" spans="1:17">
      <c r="A839">
        <v>1436</v>
      </c>
      <c r="B839">
        <v>1414.7</v>
      </c>
      <c r="C839">
        <v>951</v>
      </c>
      <c r="D839">
        <v>934</v>
      </c>
      <c r="E839" t="s">
        <v>66</v>
      </c>
      <c r="F839" t="b">
        <v>0</v>
      </c>
      <c r="G839" t="b">
        <v>0</v>
      </c>
      <c r="H839">
        <v>0.8</v>
      </c>
      <c r="I839" t="s">
        <v>159</v>
      </c>
      <c r="J839" t="s">
        <v>159</v>
      </c>
      <c r="K839" t="s">
        <v>159</v>
      </c>
      <c r="L839" t="s">
        <v>159</v>
      </c>
      <c r="M839" t="s">
        <v>159</v>
      </c>
      <c r="N839" t="s">
        <v>159</v>
      </c>
      <c r="O839" t="s">
        <v>159</v>
      </c>
      <c r="P839" t="s">
        <v>159</v>
      </c>
      <c r="Q839" t="s">
        <v>159</v>
      </c>
    </row>
    <row r="840" spans="1:17">
      <c r="A840">
        <v>1437.4</v>
      </c>
      <c r="B840">
        <v>1416.1</v>
      </c>
      <c r="C840">
        <v>952</v>
      </c>
      <c r="D840">
        <v>935</v>
      </c>
      <c r="E840" t="s">
        <v>66</v>
      </c>
      <c r="F840" t="b">
        <v>0</v>
      </c>
      <c r="G840" t="b">
        <v>0</v>
      </c>
      <c r="H840">
        <v>1.4</v>
      </c>
      <c r="I840" t="s">
        <v>159</v>
      </c>
      <c r="J840" t="s">
        <v>159</v>
      </c>
      <c r="K840" t="s">
        <v>159</v>
      </c>
      <c r="L840" t="s">
        <v>159</v>
      </c>
      <c r="M840" t="s">
        <v>159</v>
      </c>
      <c r="N840" t="s">
        <v>159</v>
      </c>
      <c r="O840" t="s">
        <v>159</v>
      </c>
      <c r="P840" t="s">
        <v>159</v>
      </c>
      <c r="Q840" t="s">
        <v>159</v>
      </c>
    </row>
    <row r="841" spans="1:17">
      <c r="A841">
        <v>1439.1</v>
      </c>
      <c r="B841">
        <v>1417.8</v>
      </c>
      <c r="C841">
        <v>954</v>
      </c>
      <c r="D841">
        <v>936</v>
      </c>
      <c r="E841" t="s">
        <v>66</v>
      </c>
      <c r="F841" t="b">
        <v>0</v>
      </c>
      <c r="G841" t="b">
        <v>0</v>
      </c>
      <c r="H841">
        <v>1.7</v>
      </c>
      <c r="I841" t="s">
        <v>159</v>
      </c>
      <c r="J841" t="s">
        <v>159</v>
      </c>
      <c r="K841" t="s">
        <v>159</v>
      </c>
      <c r="L841" t="s">
        <v>159</v>
      </c>
      <c r="M841" t="s">
        <v>159</v>
      </c>
      <c r="N841" t="s">
        <v>159</v>
      </c>
      <c r="O841" t="s">
        <v>159</v>
      </c>
      <c r="P841" t="s">
        <v>159</v>
      </c>
      <c r="Q841" t="s">
        <v>159</v>
      </c>
    </row>
    <row r="842" spans="1:17">
      <c r="A842">
        <v>1440.9</v>
      </c>
      <c r="B842">
        <v>1419.5</v>
      </c>
      <c r="C842">
        <v>955</v>
      </c>
      <c r="D842">
        <v>937</v>
      </c>
      <c r="E842" t="s">
        <v>66</v>
      </c>
      <c r="F842" t="b">
        <v>0</v>
      </c>
      <c r="G842" t="b">
        <v>0</v>
      </c>
      <c r="H842">
        <v>1.7</v>
      </c>
      <c r="I842" t="s">
        <v>159</v>
      </c>
      <c r="J842" t="s">
        <v>159</v>
      </c>
      <c r="K842" t="s">
        <v>159</v>
      </c>
      <c r="L842" t="s">
        <v>159</v>
      </c>
      <c r="M842" t="s">
        <v>159</v>
      </c>
      <c r="N842" t="s">
        <v>159</v>
      </c>
      <c r="O842" t="s">
        <v>159</v>
      </c>
      <c r="P842" t="s">
        <v>159</v>
      </c>
      <c r="Q842" t="s">
        <v>159</v>
      </c>
    </row>
    <row r="843" spans="1:17">
      <c r="A843">
        <v>1442.7</v>
      </c>
      <c r="B843">
        <v>1421.3</v>
      </c>
      <c r="C843">
        <v>956</v>
      </c>
      <c r="D843">
        <v>938</v>
      </c>
      <c r="E843" t="s">
        <v>66</v>
      </c>
      <c r="F843" t="b">
        <v>0</v>
      </c>
      <c r="G843" t="b">
        <v>0</v>
      </c>
      <c r="H843">
        <v>1.8</v>
      </c>
      <c r="I843" t="s">
        <v>159</v>
      </c>
      <c r="J843" t="s">
        <v>159</v>
      </c>
      <c r="K843" t="s">
        <v>159</v>
      </c>
      <c r="L843" t="s">
        <v>159</v>
      </c>
      <c r="M843" t="s">
        <v>159</v>
      </c>
      <c r="N843" t="s">
        <v>159</v>
      </c>
      <c r="O843" t="s">
        <v>159</v>
      </c>
      <c r="P843" t="s">
        <v>159</v>
      </c>
      <c r="Q843" t="s">
        <v>159</v>
      </c>
    </row>
    <row r="844" spans="1:17">
      <c r="A844">
        <v>1444.7</v>
      </c>
      <c r="B844">
        <v>1423.4</v>
      </c>
      <c r="C844">
        <v>958</v>
      </c>
      <c r="D844">
        <v>939</v>
      </c>
      <c r="E844" t="s">
        <v>66</v>
      </c>
      <c r="F844" t="b">
        <v>0</v>
      </c>
      <c r="G844" t="b">
        <v>0</v>
      </c>
      <c r="H844">
        <v>2</v>
      </c>
      <c r="I844" t="s">
        <v>159</v>
      </c>
      <c r="J844" t="s">
        <v>159</v>
      </c>
      <c r="K844" t="s">
        <v>159</v>
      </c>
      <c r="L844" t="s">
        <v>159</v>
      </c>
      <c r="M844" t="s">
        <v>159</v>
      </c>
      <c r="N844" t="s">
        <v>159</v>
      </c>
      <c r="O844" t="s">
        <v>159</v>
      </c>
      <c r="P844" t="s">
        <v>159</v>
      </c>
      <c r="Q844" t="s">
        <v>159</v>
      </c>
    </row>
    <row r="845" spans="1:17">
      <c r="A845">
        <v>1447.2</v>
      </c>
      <c r="B845">
        <v>1425.8</v>
      </c>
      <c r="C845">
        <v>959</v>
      </c>
      <c r="D845">
        <v>940</v>
      </c>
      <c r="E845" t="s">
        <v>66</v>
      </c>
      <c r="F845" t="b">
        <v>0</v>
      </c>
      <c r="G845" t="b">
        <v>0</v>
      </c>
      <c r="H845">
        <v>2.5</v>
      </c>
      <c r="I845" t="s">
        <v>159</v>
      </c>
      <c r="J845" t="s">
        <v>159</v>
      </c>
      <c r="K845" t="s">
        <v>159</v>
      </c>
      <c r="L845" t="s">
        <v>159</v>
      </c>
      <c r="M845" t="s">
        <v>159</v>
      </c>
      <c r="N845" t="s">
        <v>159</v>
      </c>
      <c r="O845" t="s">
        <v>159</v>
      </c>
      <c r="P845" t="s">
        <v>159</v>
      </c>
      <c r="Q845" t="s">
        <v>159</v>
      </c>
    </row>
    <row r="846" spans="1:17">
      <c r="A846">
        <v>1448.3</v>
      </c>
      <c r="B846">
        <v>1427</v>
      </c>
      <c r="C846">
        <v>960</v>
      </c>
      <c r="D846">
        <v>941</v>
      </c>
      <c r="E846" t="s">
        <v>66</v>
      </c>
      <c r="F846" t="b">
        <v>0</v>
      </c>
      <c r="G846" t="b">
        <v>0</v>
      </c>
      <c r="H846">
        <v>1.1000000000000001</v>
      </c>
      <c r="I846" t="s">
        <v>159</v>
      </c>
      <c r="J846" t="s">
        <v>159</v>
      </c>
      <c r="K846" t="s">
        <v>159</v>
      </c>
      <c r="L846" t="s">
        <v>159</v>
      </c>
      <c r="M846" t="s">
        <v>159</v>
      </c>
      <c r="N846" t="s">
        <v>159</v>
      </c>
      <c r="O846" t="s">
        <v>159</v>
      </c>
      <c r="P846" t="s">
        <v>159</v>
      </c>
      <c r="Q846" t="s">
        <v>159</v>
      </c>
    </row>
    <row r="847" spans="1:17">
      <c r="A847">
        <v>1450</v>
      </c>
      <c r="B847">
        <v>1428.6</v>
      </c>
      <c r="C847">
        <v>961</v>
      </c>
      <c r="D847">
        <v>942</v>
      </c>
      <c r="E847" t="s">
        <v>66</v>
      </c>
      <c r="F847" t="b">
        <v>0</v>
      </c>
      <c r="G847" t="b">
        <v>0</v>
      </c>
      <c r="H847">
        <v>1.7</v>
      </c>
      <c r="I847" t="s">
        <v>159</v>
      </c>
      <c r="J847" t="s">
        <v>159</v>
      </c>
      <c r="K847" t="s">
        <v>159</v>
      </c>
      <c r="L847" t="s">
        <v>159</v>
      </c>
      <c r="M847" t="s">
        <v>159</v>
      </c>
      <c r="N847" t="s">
        <v>159</v>
      </c>
      <c r="O847" t="s">
        <v>159</v>
      </c>
      <c r="P847" t="s">
        <v>159</v>
      </c>
      <c r="Q847" t="s">
        <v>159</v>
      </c>
    </row>
    <row r="848" spans="1:17">
      <c r="A848">
        <v>1451.4</v>
      </c>
      <c r="B848">
        <v>1430</v>
      </c>
      <c r="C848">
        <v>962</v>
      </c>
      <c r="D848">
        <v>943</v>
      </c>
      <c r="E848" t="s">
        <v>66</v>
      </c>
      <c r="F848" t="b">
        <v>0</v>
      </c>
      <c r="G848" t="b">
        <v>0</v>
      </c>
      <c r="H848">
        <v>1.4</v>
      </c>
      <c r="I848" t="s">
        <v>159</v>
      </c>
      <c r="J848" t="s">
        <v>159</v>
      </c>
      <c r="K848" t="s">
        <v>159</v>
      </c>
      <c r="L848" t="s">
        <v>159</v>
      </c>
      <c r="M848" t="s">
        <v>159</v>
      </c>
      <c r="N848" t="s">
        <v>159</v>
      </c>
      <c r="O848" t="s">
        <v>159</v>
      </c>
      <c r="P848" t="s">
        <v>159</v>
      </c>
      <c r="Q848" t="s">
        <v>159</v>
      </c>
    </row>
    <row r="849" spans="1:17">
      <c r="A849">
        <v>1453.1</v>
      </c>
      <c r="B849">
        <v>1431.8</v>
      </c>
      <c r="C849">
        <v>964</v>
      </c>
      <c r="D849">
        <v>944</v>
      </c>
      <c r="E849" t="s">
        <v>66</v>
      </c>
      <c r="F849" t="b">
        <v>0</v>
      </c>
      <c r="G849" t="b">
        <v>0</v>
      </c>
      <c r="H849">
        <v>1.7</v>
      </c>
      <c r="I849" t="s">
        <v>159</v>
      </c>
      <c r="J849" t="s">
        <v>159</v>
      </c>
      <c r="K849" t="s">
        <v>159</v>
      </c>
      <c r="L849" t="s">
        <v>159</v>
      </c>
      <c r="M849" t="s">
        <v>159</v>
      </c>
      <c r="N849" t="s">
        <v>159</v>
      </c>
      <c r="O849" t="s">
        <v>159</v>
      </c>
      <c r="P849" t="s">
        <v>159</v>
      </c>
      <c r="Q849" t="s">
        <v>159</v>
      </c>
    </row>
    <row r="850" spans="1:17">
      <c r="A850">
        <v>1455.3</v>
      </c>
      <c r="B850">
        <v>1433.9</v>
      </c>
      <c r="C850">
        <v>965</v>
      </c>
      <c r="D850">
        <v>945</v>
      </c>
      <c r="E850" t="s">
        <v>66</v>
      </c>
      <c r="F850" t="b">
        <v>0</v>
      </c>
      <c r="G850" t="b">
        <v>0</v>
      </c>
      <c r="H850">
        <v>2.2000000000000002</v>
      </c>
      <c r="I850" t="s">
        <v>159</v>
      </c>
      <c r="J850" t="s">
        <v>159</v>
      </c>
      <c r="K850" t="s">
        <v>159</v>
      </c>
      <c r="L850" t="s">
        <v>159</v>
      </c>
      <c r="M850" t="s">
        <v>159</v>
      </c>
      <c r="N850" t="s">
        <v>159</v>
      </c>
      <c r="O850" t="s">
        <v>159</v>
      </c>
      <c r="P850" t="s">
        <v>159</v>
      </c>
      <c r="Q850" t="s">
        <v>159</v>
      </c>
    </row>
    <row r="851" spans="1:17">
      <c r="A851">
        <v>1457</v>
      </c>
      <c r="B851">
        <v>1435.7</v>
      </c>
      <c r="C851">
        <v>966</v>
      </c>
      <c r="D851">
        <v>946</v>
      </c>
      <c r="E851" t="s">
        <v>66</v>
      </c>
      <c r="F851" t="b">
        <v>0</v>
      </c>
      <c r="G851" t="b">
        <v>0</v>
      </c>
      <c r="H851">
        <v>1.7</v>
      </c>
      <c r="I851" t="s">
        <v>159</v>
      </c>
      <c r="J851" t="s">
        <v>159</v>
      </c>
      <c r="K851" t="s">
        <v>159</v>
      </c>
      <c r="L851" t="s">
        <v>159</v>
      </c>
      <c r="M851" t="s">
        <v>159</v>
      </c>
      <c r="N851" t="s">
        <v>159</v>
      </c>
      <c r="O851" t="s">
        <v>159</v>
      </c>
      <c r="P851" t="s">
        <v>159</v>
      </c>
      <c r="Q851" t="s">
        <v>159</v>
      </c>
    </row>
    <row r="852" spans="1:17">
      <c r="A852">
        <v>1458.2</v>
      </c>
      <c r="B852">
        <v>1436.8</v>
      </c>
      <c r="C852">
        <v>967</v>
      </c>
      <c r="D852">
        <v>947</v>
      </c>
      <c r="E852" t="s">
        <v>66</v>
      </c>
      <c r="F852" t="b">
        <v>0</v>
      </c>
      <c r="G852" t="b">
        <v>0</v>
      </c>
      <c r="H852">
        <v>1.1000000000000001</v>
      </c>
      <c r="I852" t="s">
        <v>159</v>
      </c>
      <c r="J852" t="s">
        <v>159</v>
      </c>
      <c r="K852" t="s">
        <v>159</v>
      </c>
      <c r="L852" t="s">
        <v>159</v>
      </c>
      <c r="M852" t="s">
        <v>159</v>
      </c>
      <c r="N852" t="s">
        <v>159</v>
      </c>
      <c r="O852" t="s">
        <v>159</v>
      </c>
      <c r="P852" t="s">
        <v>159</v>
      </c>
      <c r="Q852" t="s">
        <v>159</v>
      </c>
    </row>
    <row r="853" spans="1:17">
      <c r="A853">
        <v>1459.6</v>
      </c>
      <c r="B853">
        <v>1438.2</v>
      </c>
      <c r="C853">
        <v>968</v>
      </c>
      <c r="D853">
        <v>948</v>
      </c>
      <c r="E853" t="s">
        <v>66</v>
      </c>
      <c r="F853" t="b">
        <v>0</v>
      </c>
      <c r="G853" t="b">
        <v>0</v>
      </c>
      <c r="H853">
        <v>1.4</v>
      </c>
      <c r="I853">
        <v>4.5410000000000004</v>
      </c>
      <c r="J853" t="s">
        <v>159</v>
      </c>
      <c r="K853" t="s">
        <v>159</v>
      </c>
      <c r="L853" t="s">
        <v>159</v>
      </c>
      <c r="M853" t="s">
        <v>159</v>
      </c>
      <c r="N853" t="s">
        <v>159</v>
      </c>
      <c r="O853" t="s">
        <v>159</v>
      </c>
      <c r="P853" t="s">
        <v>159</v>
      </c>
      <c r="Q853" t="s">
        <v>159</v>
      </c>
    </row>
    <row r="854" spans="1:17">
      <c r="A854">
        <v>1460.7</v>
      </c>
      <c r="B854">
        <v>1439.3</v>
      </c>
      <c r="C854">
        <v>969</v>
      </c>
      <c r="D854">
        <v>949</v>
      </c>
      <c r="E854" t="s">
        <v>66</v>
      </c>
      <c r="F854" t="b">
        <v>0</v>
      </c>
      <c r="G854" t="b">
        <v>0</v>
      </c>
      <c r="H854">
        <v>1.1000000000000001</v>
      </c>
      <c r="I854">
        <v>4.5410000000000004</v>
      </c>
      <c r="J854" t="s">
        <v>159</v>
      </c>
      <c r="K854" t="s">
        <v>159</v>
      </c>
      <c r="L854" t="s">
        <v>159</v>
      </c>
      <c r="M854" t="s">
        <v>159</v>
      </c>
      <c r="N854" t="s">
        <v>159</v>
      </c>
      <c r="O854" t="s">
        <v>159</v>
      </c>
      <c r="P854" t="s">
        <v>159</v>
      </c>
      <c r="Q854" t="s">
        <v>159</v>
      </c>
    </row>
    <row r="855" spans="1:17">
      <c r="A855">
        <v>1462.7</v>
      </c>
      <c r="B855">
        <v>1441.3</v>
      </c>
      <c r="C855">
        <v>971</v>
      </c>
      <c r="D855">
        <v>950</v>
      </c>
      <c r="E855" t="s">
        <v>66</v>
      </c>
      <c r="F855" t="b">
        <v>0</v>
      </c>
      <c r="G855" t="b">
        <v>0</v>
      </c>
      <c r="H855">
        <v>2</v>
      </c>
      <c r="I855">
        <v>4.5410000000000004</v>
      </c>
      <c r="J855" t="s">
        <v>159</v>
      </c>
      <c r="K855" t="s">
        <v>159</v>
      </c>
      <c r="L855" t="s">
        <v>159</v>
      </c>
      <c r="M855" t="s">
        <v>159</v>
      </c>
      <c r="N855" t="s">
        <v>159</v>
      </c>
      <c r="O855" t="s">
        <v>159</v>
      </c>
      <c r="P855" t="s">
        <v>159</v>
      </c>
      <c r="Q855" t="s">
        <v>159</v>
      </c>
    </row>
    <row r="856" spans="1:17">
      <c r="A856">
        <v>1463.3</v>
      </c>
      <c r="B856">
        <v>1442</v>
      </c>
      <c r="C856">
        <v>971</v>
      </c>
      <c r="D856">
        <v>951</v>
      </c>
      <c r="E856" t="s">
        <v>66</v>
      </c>
      <c r="F856" t="b">
        <v>0</v>
      </c>
      <c r="G856" t="b">
        <v>0</v>
      </c>
      <c r="H856">
        <v>0.6</v>
      </c>
      <c r="I856">
        <v>4.5410000000000004</v>
      </c>
      <c r="J856" t="s">
        <v>159</v>
      </c>
      <c r="K856" t="s">
        <v>159</v>
      </c>
      <c r="L856" t="s">
        <v>159</v>
      </c>
      <c r="M856" t="s">
        <v>159</v>
      </c>
      <c r="N856" t="s">
        <v>159</v>
      </c>
      <c r="O856" t="s">
        <v>159</v>
      </c>
      <c r="P856" t="s">
        <v>159</v>
      </c>
      <c r="Q856" t="s">
        <v>159</v>
      </c>
    </row>
    <row r="857" spans="1:17">
      <c r="A857">
        <v>1464.1</v>
      </c>
      <c r="B857">
        <v>1442.8</v>
      </c>
      <c r="C857">
        <v>972</v>
      </c>
      <c r="D857">
        <v>952</v>
      </c>
      <c r="E857" t="s">
        <v>66</v>
      </c>
      <c r="F857" t="b">
        <v>0</v>
      </c>
      <c r="G857" t="b">
        <v>0</v>
      </c>
      <c r="H857">
        <v>0.8</v>
      </c>
      <c r="I857">
        <v>4.5410000000000004</v>
      </c>
      <c r="J857" t="s">
        <v>159</v>
      </c>
      <c r="K857" t="s">
        <v>159</v>
      </c>
      <c r="L857" t="s">
        <v>159</v>
      </c>
      <c r="M857" t="s">
        <v>159</v>
      </c>
      <c r="N857" t="s">
        <v>159</v>
      </c>
      <c r="O857" t="s">
        <v>159</v>
      </c>
      <c r="P857" t="s">
        <v>159</v>
      </c>
      <c r="Q857" t="s">
        <v>159</v>
      </c>
    </row>
    <row r="858" spans="1:17">
      <c r="A858">
        <v>1465</v>
      </c>
      <c r="B858">
        <v>1443.6</v>
      </c>
      <c r="C858">
        <v>972</v>
      </c>
      <c r="D858">
        <v>953</v>
      </c>
      <c r="E858" t="s">
        <v>66</v>
      </c>
      <c r="F858" t="b">
        <v>0</v>
      </c>
      <c r="G858" t="b">
        <v>0</v>
      </c>
      <c r="H858">
        <v>0.8</v>
      </c>
      <c r="I858">
        <v>4.5410000000000004</v>
      </c>
      <c r="J858" t="s">
        <v>159</v>
      </c>
      <c r="K858" t="s">
        <v>159</v>
      </c>
      <c r="L858" t="s">
        <v>159</v>
      </c>
      <c r="M858" t="s">
        <v>159</v>
      </c>
      <c r="N858" t="s">
        <v>159</v>
      </c>
      <c r="O858" t="s">
        <v>159</v>
      </c>
      <c r="P858" t="s">
        <v>159</v>
      </c>
      <c r="Q858" t="s">
        <v>159</v>
      </c>
    </row>
    <row r="859" spans="1:17">
      <c r="A859">
        <v>1465.5</v>
      </c>
      <c r="B859">
        <v>1444.1</v>
      </c>
      <c r="C859">
        <v>973</v>
      </c>
      <c r="D859">
        <v>954</v>
      </c>
      <c r="E859" t="s">
        <v>66</v>
      </c>
      <c r="F859" t="b">
        <v>0</v>
      </c>
      <c r="G859" t="b">
        <v>0</v>
      </c>
      <c r="H859">
        <v>0.5</v>
      </c>
      <c r="I859">
        <v>4.5410000000000004</v>
      </c>
      <c r="J859" t="s">
        <v>159</v>
      </c>
      <c r="K859" t="s">
        <v>159</v>
      </c>
      <c r="L859" t="s">
        <v>159</v>
      </c>
      <c r="M859" t="s">
        <v>159</v>
      </c>
      <c r="N859" t="s">
        <v>159</v>
      </c>
      <c r="O859" t="s">
        <v>159</v>
      </c>
      <c r="P859" t="s">
        <v>159</v>
      </c>
      <c r="Q859" t="s">
        <v>159</v>
      </c>
    </row>
    <row r="860" spans="1:17">
      <c r="A860">
        <v>1466.8</v>
      </c>
      <c r="B860">
        <v>1445.5</v>
      </c>
      <c r="C860">
        <v>974</v>
      </c>
      <c r="D860">
        <v>955</v>
      </c>
      <c r="E860" t="s">
        <v>66</v>
      </c>
      <c r="F860" t="b">
        <v>0</v>
      </c>
      <c r="G860" t="b">
        <v>0</v>
      </c>
      <c r="H860">
        <v>1.3</v>
      </c>
      <c r="I860">
        <v>4.5410000000000004</v>
      </c>
      <c r="J860" t="s">
        <v>159</v>
      </c>
      <c r="K860" t="s">
        <v>159</v>
      </c>
      <c r="L860" t="s">
        <v>159</v>
      </c>
      <c r="M860" t="s">
        <v>159</v>
      </c>
      <c r="N860" t="s">
        <v>159</v>
      </c>
      <c r="O860" t="s">
        <v>159</v>
      </c>
      <c r="P860" t="s">
        <v>159</v>
      </c>
      <c r="Q860" t="s">
        <v>159</v>
      </c>
    </row>
    <row r="861" spans="1:17">
      <c r="A861">
        <v>1468.4</v>
      </c>
      <c r="B861">
        <v>1447</v>
      </c>
      <c r="C861">
        <v>975</v>
      </c>
      <c r="D861">
        <v>956</v>
      </c>
      <c r="E861" t="s">
        <v>66</v>
      </c>
      <c r="F861" t="b">
        <v>0</v>
      </c>
      <c r="G861" t="b">
        <v>0</v>
      </c>
      <c r="H861">
        <v>1.5</v>
      </c>
      <c r="I861">
        <v>4.5410000000000004</v>
      </c>
      <c r="J861" t="s">
        <v>159</v>
      </c>
      <c r="K861" t="s">
        <v>159</v>
      </c>
      <c r="L861" t="s">
        <v>159</v>
      </c>
      <c r="M861" t="s">
        <v>159</v>
      </c>
      <c r="N861" t="s">
        <v>159</v>
      </c>
      <c r="O861" t="s">
        <v>159</v>
      </c>
      <c r="P861" t="s">
        <v>159</v>
      </c>
      <c r="Q861" t="s">
        <v>159</v>
      </c>
    </row>
    <row r="862" spans="1:17">
      <c r="A862">
        <v>1470</v>
      </c>
      <c r="B862">
        <v>1448.6</v>
      </c>
      <c r="C862">
        <v>976</v>
      </c>
      <c r="D862">
        <v>957</v>
      </c>
      <c r="E862" t="s">
        <v>66</v>
      </c>
      <c r="F862" t="b">
        <v>0</v>
      </c>
      <c r="G862" t="b">
        <v>0</v>
      </c>
      <c r="H862">
        <v>1.6</v>
      </c>
      <c r="I862">
        <v>4.5410000000000004</v>
      </c>
      <c r="J862" t="s">
        <v>159</v>
      </c>
      <c r="K862" t="s">
        <v>159</v>
      </c>
      <c r="L862" t="s">
        <v>159</v>
      </c>
      <c r="M862" t="s">
        <v>159</v>
      </c>
      <c r="N862" t="s">
        <v>159</v>
      </c>
      <c r="O862" t="s">
        <v>159</v>
      </c>
      <c r="P862" t="s">
        <v>159</v>
      </c>
      <c r="Q862" t="s">
        <v>159</v>
      </c>
    </row>
    <row r="863" spans="1:17">
      <c r="A863">
        <v>1471.7</v>
      </c>
      <c r="B863">
        <v>1450.3</v>
      </c>
      <c r="C863">
        <v>977</v>
      </c>
      <c r="D863">
        <v>958</v>
      </c>
      <c r="E863" t="s">
        <v>66</v>
      </c>
      <c r="F863" t="b">
        <v>0</v>
      </c>
      <c r="G863" t="b">
        <v>0</v>
      </c>
      <c r="H863">
        <v>1.7</v>
      </c>
      <c r="I863">
        <v>4.5410000000000004</v>
      </c>
      <c r="J863" t="s">
        <v>159</v>
      </c>
      <c r="K863" t="s">
        <v>159</v>
      </c>
      <c r="L863" t="s">
        <v>159</v>
      </c>
      <c r="M863" t="s">
        <v>159</v>
      </c>
      <c r="N863" t="s">
        <v>159</v>
      </c>
      <c r="O863" t="s">
        <v>159</v>
      </c>
      <c r="P863" t="s">
        <v>159</v>
      </c>
      <c r="Q863" t="s">
        <v>159</v>
      </c>
    </row>
    <row r="864" spans="1:17">
      <c r="A864">
        <v>1472.5</v>
      </c>
      <c r="B864">
        <v>1451.1</v>
      </c>
      <c r="C864">
        <v>978</v>
      </c>
      <c r="D864">
        <v>959</v>
      </c>
      <c r="E864" t="s">
        <v>66</v>
      </c>
      <c r="F864" t="b">
        <v>0</v>
      </c>
      <c r="G864" t="b">
        <v>0</v>
      </c>
      <c r="H864">
        <v>0.8</v>
      </c>
      <c r="I864">
        <v>4.5410000000000004</v>
      </c>
      <c r="J864" t="s">
        <v>159</v>
      </c>
      <c r="K864" t="s">
        <v>159</v>
      </c>
      <c r="L864" t="s">
        <v>159</v>
      </c>
      <c r="M864" t="s">
        <v>159</v>
      </c>
      <c r="N864" t="s">
        <v>159</v>
      </c>
      <c r="O864" t="s">
        <v>159</v>
      </c>
      <c r="P864" t="s">
        <v>159</v>
      </c>
      <c r="Q864" t="s">
        <v>159</v>
      </c>
    </row>
    <row r="865" spans="1:17">
      <c r="A865">
        <v>1474</v>
      </c>
      <c r="B865">
        <v>1452.6</v>
      </c>
      <c r="C865">
        <v>979</v>
      </c>
      <c r="D865">
        <v>960</v>
      </c>
      <c r="E865" t="s">
        <v>66</v>
      </c>
      <c r="F865" t="b">
        <v>0</v>
      </c>
      <c r="G865" t="b">
        <v>0</v>
      </c>
      <c r="H865">
        <v>1.5</v>
      </c>
      <c r="I865">
        <v>4.5410000000000004</v>
      </c>
      <c r="J865" t="s">
        <v>159</v>
      </c>
      <c r="K865" t="s">
        <v>159</v>
      </c>
      <c r="L865" t="s">
        <v>159</v>
      </c>
      <c r="M865" t="s">
        <v>159</v>
      </c>
      <c r="N865" t="s">
        <v>159</v>
      </c>
      <c r="O865" t="s">
        <v>159</v>
      </c>
      <c r="P865" t="s">
        <v>159</v>
      </c>
      <c r="Q865" t="s">
        <v>159</v>
      </c>
    </row>
    <row r="866" spans="1:17">
      <c r="A866">
        <v>1475.4</v>
      </c>
      <c r="B866">
        <v>1454.1</v>
      </c>
      <c r="C866">
        <v>980</v>
      </c>
      <c r="D866">
        <v>961</v>
      </c>
      <c r="E866" t="s">
        <v>66</v>
      </c>
      <c r="F866" t="b">
        <v>0</v>
      </c>
      <c r="G866" t="b">
        <v>0</v>
      </c>
      <c r="H866">
        <v>1.4</v>
      </c>
      <c r="I866">
        <v>4.5410000000000004</v>
      </c>
      <c r="J866" t="s">
        <v>159</v>
      </c>
      <c r="K866" t="s">
        <v>159</v>
      </c>
      <c r="L866" t="s">
        <v>159</v>
      </c>
      <c r="M866" t="s">
        <v>159</v>
      </c>
      <c r="N866" t="s">
        <v>159</v>
      </c>
      <c r="O866" t="s">
        <v>159</v>
      </c>
      <c r="P866" t="s">
        <v>159</v>
      </c>
      <c r="Q866" t="s">
        <v>159</v>
      </c>
    </row>
    <row r="867" spans="1:17">
      <c r="A867">
        <v>1477</v>
      </c>
      <c r="B867">
        <v>1455.6</v>
      </c>
      <c r="C867">
        <v>981</v>
      </c>
      <c r="D867">
        <v>962</v>
      </c>
      <c r="E867" t="s">
        <v>66</v>
      </c>
      <c r="F867" t="b">
        <v>0</v>
      </c>
      <c r="G867" t="b">
        <v>0</v>
      </c>
      <c r="H867">
        <v>1.6</v>
      </c>
      <c r="I867">
        <v>4.5410000000000004</v>
      </c>
      <c r="J867" t="s">
        <v>159</v>
      </c>
      <c r="K867" t="s">
        <v>159</v>
      </c>
      <c r="L867" t="s">
        <v>159</v>
      </c>
      <c r="M867" t="s">
        <v>159</v>
      </c>
      <c r="N867" t="s">
        <v>159</v>
      </c>
      <c r="O867" t="s">
        <v>159</v>
      </c>
      <c r="P867" t="s">
        <v>159</v>
      </c>
      <c r="Q867" t="s">
        <v>159</v>
      </c>
    </row>
    <row r="868" spans="1:17">
      <c r="A868">
        <v>1478.2</v>
      </c>
      <c r="B868">
        <v>1456.8</v>
      </c>
      <c r="C868">
        <v>982</v>
      </c>
      <c r="D868">
        <v>963</v>
      </c>
      <c r="E868" t="s">
        <v>66</v>
      </c>
      <c r="F868" t="b">
        <v>0</v>
      </c>
      <c r="G868" t="b">
        <v>0</v>
      </c>
      <c r="H868">
        <v>1.1000000000000001</v>
      </c>
      <c r="I868">
        <v>4.5410000000000004</v>
      </c>
      <c r="J868" t="s">
        <v>159</v>
      </c>
      <c r="K868" t="s">
        <v>159</v>
      </c>
      <c r="L868" t="s">
        <v>159</v>
      </c>
      <c r="M868" t="s">
        <v>159</v>
      </c>
      <c r="N868" t="s">
        <v>159</v>
      </c>
      <c r="O868" t="s">
        <v>159</v>
      </c>
      <c r="P868" t="s">
        <v>159</v>
      </c>
      <c r="Q868" t="s">
        <v>159</v>
      </c>
    </row>
    <row r="869" spans="1:17">
      <c r="A869">
        <v>1479.4</v>
      </c>
      <c r="B869">
        <v>1458.1</v>
      </c>
      <c r="C869">
        <v>983</v>
      </c>
      <c r="D869">
        <v>964</v>
      </c>
      <c r="E869" t="s">
        <v>66</v>
      </c>
      <c r="F869" t="b">
        <v>0</v>
      </c>
      <c r="G869" t="b">
        <v>0</v>
      </c>
      <c r="H869">
        <v>1.3</v>
      </c>
      <c r="I869">
        <v>4.5410000000000004</v>
      </c>
      <c r="J869" t="s">
        <v>159</v>
      </c>
      <c r="K869" t="s">
        <v>159</v>
      </c>
      <c r="L869" t="s">
        <v>159</v>
      </c>
      <c r="M869" t="s">
        <v>159</v>
      </c>
      <c r="N869" t="s">
        <v>159</v>
      </c>
      <c r="O869" t="s">
        <v>159</v>
      </c>
      <c r="P869" t="s">
        <v>159</v>
      </c>
      <c r="Q869" t="s">
        <v>159</v>
      </c>
    </row>
    <row r="870" spans="1:17">
      <c r="A870">
        <v>1480.5</v>
      </c>
      <c r="B870">
        <v>1459.1</v>
      </c>
      <c r="C870">
        <v>983</v>
      </c>
      <c r="D870">
        <v>965</v>
      </c>
      <c r="E870" t="s">
        <v>66</v>
      </c>
      <c r="F870" t="b">
        <v>0</v>
      </c>
      <c r="G870" t="b">
        <v>0</v>
      </c>
      <c r="H870">
        <v>1.1000000000000001</v>
      </c>
      <c r="I870">
        <v>4.5410000000000004</v>
      </c>
      <c r="J870" t="s">
        <v>159</v>
      </c>
      <c r="K870" t="s">
        <v>159</v>
      </c>
      <c r="L870" t="s">
        <v>159</v>
      </c>
      <c r="M870" t="s">
        <v>159</v>
      </c>
      <c r="N870" t="s">
        <v>159</v>
      </c>
      <c r="O870" t="s">
        <v>159</v>
      </c>
      <c r="P870" t="s">
        <v>159</v>
      </c>
      <c r="Q870" t="s">
        <v>159</v>
      </c>
    </row>
    <row r="871" spans="1:17">
      <c r="A871">
        <v>1481.5</v>
      </c>
      <c r="B871">
        <v>1460.2</v>
      </c>
      <c r="C871">
        <v>984</v>
      </c>
      <c r="D871">
        <v>966</v>
      </c>
      <c r="E871" t="s">
        <v>66</v>
      </c>
      <c r="F871" t="b">
        <v>0</v>
      </c>
      <c r="G871" t="b">
        <v>0</v>
      </c>
      <c r="H871">
        <v>1</v>
      </c>
      <c r="I871" t="s">
        <v>159</v>
      </c>
      <c r="J871" t="s">
        <v>159</v>
      </c>
      <c r="K871" t="s">
        <v>159</v>
      </c>
      <c r="L871" t="s">
        <v>159</v>
      </c>
      <c r="M871" t="s">
        <v>159</v>
      </c>
      <c r="N871" t="s">
        <v>159</v>
      </c>
      <c r="O871" t="s">
        <v>159</v>
      </c>
      <c r="P871" t="s">
        <v>159</v>
      </c>
      <c r="Q871" t="s">
        <v>159</v>
      </c>
    </row>
    <row r="872" spans="1:17">
      <c r="A872">
        <v>1482.6</v>
      </c>
      <c r="B872">
        <v>1461.2</v>
      </c>
      <c r="C872">
        <v>985</v>
      </c>
      <c r="D872">
        <v>967</v>
      </c>
      <c r="E872" t="s">
        <v>66</v>
      </c>
      <c r="F872" t="b">
        <v>0</v>
      </c>
      <c r="G872" t="b">
        <v>0</v>
      </c>
      <c r="H872">
        <v>1</v>
      </c>
      <c r="I872" t="s">
        <v>159</v>
      </c>
      <c r="J872" t="s">
        <v>159</v>
      </c>
      <c r="K872" t="s">
        <v>159</v>
      </c>
      <c r="L872" t="s">
        <v>159</v>
      </c>
      <c r="M872" t="s">
        <v>159</v>
      </c>
      <c r="N872" t="s">
        <v>159</v>
      </c>
      <c r="O872" t="s">
        <v>159</v>
      </c>
      <c r="P872" t="s">
        <v>159</v>
      </c>
      <c r="Q872" t="s">
        <v>159</v>
      </c>
    </row>
    <row r="873" spans="1:17">
      <c r="A873">
        <v>1483.2</v>
      </c>
      <c r="B873">
        <v>1461.9</v>
      </c>
      <c r="C873">
        <v>985</v>
      </c>
      <c r="D873">
        <v>968</v>
      </c>
      <c r="E873" t="s">
        <v>66</v>
      </c>
      <c r="F873" t="b">
        <v>0</v>
      </c>
      <c r="G873" t="b">
        <v>0</v>
      </c>
      <c r="H873">
        <v>0.7</v>
      </c>
      <c r="I873" t="s">
        <v>159</v>
      </c>
      <c r="J873" t="s">
        <v>159</v>
      </c>
      <c r="K873" t="s">
        <v>159</v>
      </c>
      <c r="L873" t="s">
        <v>159</v>
      </c>
      <c r="M873" t="s">
        <v>159</v>
      </c>
      <c r="N873" t="s">
        <v>159</v>
      </c>
      <c r="O873" t="s">
        <v>159</v>
      </c>
      <c r="P873" t="s">
        <v>159</v>
      </c>
      <c r="Q873" t="s">
        <v>159</v>
      </c>
    </row>
    <row r="874" spans="1:17">
      <c r="A874">
        <v>1483.8</v>
      </c>
      <c r="B874">
        <v>1462.4</v>
      </c>
      <c r="C874">
        <v>986</v>
      </c>
      <c r="D874">
        <v>969</v>
      </c>
      <c r="E874" t="s">
        <v>66</v>
      </c>
      <c r="F874" t="b">
        <v>0</v>
      </c>
      <c r="G874" t="b">
        <v>0</v>
      </c>
      <c r="H874">
        <v>0.6</v>
      </c>
      <c r="I874" t="s">
        <v>159</v>
      </c>
      <c r="J874" t="s">
        <v>159</v>
      </c>
      <c r="K874" t="s">
        <v>159</v>
      </c>
      <c r="L874" t="s">
        <v>159</v>
      </c>
      <c r="M874" t="s">
        <v>159</v>
      </c>
      <c r="N874" t="s">
        <v>159</v>
      </c>
      <c r="O874" t="s">
        <v>159</v>
      </c>
      <c r="P874" t="s">
        <v>159</v>
      </c>
      <c r="Q874" t="s">
        <v>159</v>
      </c>
    </row>
    <row r="875" spans="1:17">
      <c r="A875">
        <v>1484.8</v>
      </c>
      <c r="B875">
        <v>1463.4</v>
      </c>
      <c r="C875">
        <v>986</v>
      </c>
      <c r="D875">
        <v>970</v>
      </c>
      <c r="E875" t="s">
        <v>66</v>
      </c>
      <c r="F875" t="b">
        <v>0</v>
      </c>
      <c r="G875" t="b">
        <v>0</v>
      </c>
      <c r="H875">
        <v>1</v>
      </c>
      <c r="I875" t="s">
        <v>159</v>
      </c>
      <c r="J875" t="s">
        <v>159</v>
      </c>
      <c r="K875" t="s">
        <v>159</v>
      </c>
      <c r="L875" t="s">
        <v>159</v>
      </c>
      <c r="M875" t="s">
        <v>159</v>
      </c>
      <c r="N875" t="s">
        <v>159</v>
      </c>
      <c r="O875" t="s">
        <v>159</v>
      </c>
      <c r="P875" t="s">
        <v>159</v>
      </c>
      <c r="Q875" t="s">
        <v>159</v>
      </c>
    </row>
    <row r="876" spans="1:17">
      <c r="A876">
        <v>1486</v>
      </c>
      <c r="B876">
        <v>1464.6</v>
      </c>
      <c r="C876">
        <v>987</v>
      </c>
      <c r="D876">
        <v>971</v>
      </c>
      <c r="E876" t="s">
        <v>66</v>
      </c>
      <c r="F876" t="b">
        <v>0</v>
      </c>
      <c r="G876" t="b">
        <v>0</v>
      </c>
      <c r="H876">
        <v>1.2</v>
      </c>
      <c r="I876" t="s">
        <v>159</v>
      </c>
      <c r="J876" t="s">
        <v>159</v>
      </c>
      <c r="K876" t="s">
        <v>159</v>
      </c>
      <c r="L876" t="s">
        <v>159</v>
      </c>
      <c r="M876" t="s">
        <v>159</v>
      </c>
      <c r="N876" t="s">
        <v>159</v>
      </c>
      <c r="O876" t="s">
        <v>159</v>
      </c>
      <c r="P876" t="s">
        <v>159</v>
      </c>
      <c r="Q876" t="s">
        <v>159</v>
      </c>
    </row>
    <row r="877" spans="1:17">
      <c r="A877">
        <v>1487.6</v>
      </c>
      <c r="B877">
        <v>1466.2</v>
      </c>
      <c r="C877">
        <v>988</v>
      </c>
      <c r="D877">
        <v>972</v>
      </c>
      <c r="E877" t="s">
        <v>66</v>
      </c>
      <c r="F877" t="b">
        <v>0</v>
      </c>
      <c r="G877" t="b">
        <v>0</v>
      </c>
      <c r="H877">
        <v>1.6</v>
      </c>
      <c r="I877" t="s">
        <v>159</v>
      </c>
      <c r="J877" t="s">
        <v>159</v>
      </c>
      <c r="K877" t="s">
        <v>159</v>
      </c>
      <c r="L877" t="s">
        <v>159</v>
      </c>
      <c r="M877" t="s">
        <v>159</v>
      </c>
      <c r="N877" t="s">
        <v>159</v>
      </c>
      <c r="O877" t="s">
        <v>159</v>
      </c>
      <c r="P877" t="s">
        <v>159</v>
      </c>
      <c r="Q877" t="s">
        <v>159</v>
      </c>
    </row>
    <row r="878" spans="1:17">
      <c r="A878">
        <v>1488.5</v>
      </c>
      <c r="B878">
        <v>1467.1</v>
      </c>
      <c r="C878">
        <v>989</v>
      </c>
      <c r="D878">
        <v>973</v>
      </c>
      <c r="E878" t="s">
        <v>66</v>
      </c>
      <c r="F878" t="b">
        <v>0</v>
      </c>
      <c r="G878" t="b">
        <v>0</v>
      </c>
      <c r="H878">
        <v>0.9</v>
      </c>
      <c r="I878" t="s">
        <v>159</v>
      </c>
      <c r="J878" t="s">
        <v>159</v>
      </c>
      <c r="K878" t="s">
        <v>159</v>
      </c>
      <c r="L878" t="s">
        <v>159</v>
      </c>
      <c r="M878" t="s">
        <v>159</v>
      </c>
      <c r="N878" t="s">
        <v>159</v>
      </c>
      <c r="O878" t="s">
        <v>159</v>
      </c>
      <c r="P878" t="s">
        <v>159</v>
      </c>
      <c r="Q878" t="s">
        <v>159</v>
      </c>
    </row>
    <row r="879" spans="1:17">
      <c r="A879">
        <v>1489.7</v>
      </c>
      <c r="B879">
        <v>1468.3</v>
      </c>
      <c r="C879">
        <v>990</v>
      </c>
      <c r="D879">
        <v>974</v>
      </c>
      <c r="E879" t="s">
        <v>66</v>
      </c>
      <c r="F879" t="b">
        <v>0</v>
      </c>
      <c r="G879" t="b">
        <v>0</v>
      </c>
      <c r="H879">
        <v>1.2</v>
      </c>
      <c r="I879" t="s">
        <v>159</v>
      </c>
      <c r="J879" t="s">
        <v>159</v>
      </c>
      <c r="K879" t="s">
        <v>159</v>
      </c>
      <c r="L879" t="s">
        <v>159</v>
      </c>
      <c r="M879" t="s">
        <v>159</v>
      </c>
      <c r="N879" t="s">
        <v>159</v>
      </c>
      <c r="O879" t="s">
        <v>159</v>
      </c>
      <c r="P879" t="s">
        <v>159</v>
      </c>
      <c r="Q879" t="s">
        <v>159</v>
      </c>
    </row>
    <row r="880" spans="1:17">
      <c r="A880">
        <v>1491.3</v>
      </c>
      <c r="B880">
        <v>1469.9</v>
      </c>
      <c r="C880">
        <v>991</v>
      </c>
      <c r="D880">
        <v>975</v>
      </c>
      <c r="E880" t="s">
        <v>66</v>
      </c>
      <c r="F880" t="b">
        <v>0</v>
      </c>
      <c r="G880" t="b">
        <v>0</v>
      </c>
      <c r="H880">
        <v>1.6</v>
      </c>
      <c r="I880" t="s">
        <v>159</v>
      </c>
      <c r="J880" t="s">
        <v>159</v>
      </c>
      <c r="K880" t="s">
        <v>159</v>
      </c>
      <c r="L880" t="s">
        <v>159</v>
      </c>
      <c r="M880" t="s">
        <v>159</v>
      </c>
      <c r="N880" t="s">
        <v>159</v>
      </c>
      <c r="O880" t="s">
        <v>159</v>
      </c>
      <c r="P880" t="s">
        <v>159</v>
      </c>
      <c r="Q880" t="s">
        <v>159</v>
      </c>
    </row>
    <row r="881" spans="1:17">
      <c r="A881">
        <v>1493.4</v>
      </c>
      <c r="B881">
        <v>1472.1</v>
      </c>
      <c r="C881">
        <v>993</v>
      </c>
      <c r="D881">
        <v>976</v>
      </c>
      <c r="E881" t="s">
        <v>66</v>
      </c>
      <c r="F881" t="b">
        <v>0</v>
      </c>
      <c r="G881" t="b">
        <v>0</v>
      </c>
      <c r="H881">
        <v>2.1</v>
      </c>
      <c r="I881" t="s">
        <v>159</v>
      </c>
      <c r="J881" t="s">
        <v>159</v>
      </c>
      <c r="K881" t="s">
        <v>159</v>
      </c>
      <c r="L881" t="s">
        <v>159</v>
      </c>
      <c r="M881" t="s">
        <v>159</v>
      </c>
      <c r="N881" t="s">
        <v>159</v>
      </c>
      <c r="O881" t="s">
        <v>159</v>
      </c>
      <c r="P881" t="s">
        <v>159</v>
      </c>
      <c r="Q881" t="s">
        <v>159</v>
      </c>
    </row>
    <row r="882" spans="1:17">
      <c r="A882">
        <v>1495.9</v>
      </c>
      <c r="B882">
        <v>1474.6</v>
      </c>
      <c r="C882">
        <v>994</v>
      </c>
      <c r="D882">
        <v>977</v>
      </c>
      <c r="E882" t="s">
        <v>66</v>
      </c>
      <c r="F882" t="b">
        <v>0</v>
      </c>
      <c r="G882" t="b">
        <v>0</v>
      </c>
      <c r="H882">
        <v>2.5</v>
      </c>
      <c r="I882" t="s">
        <v>159</v>
      </c>
      <c r="J882">
        <v>0.753</v>
      </c>
      <c r="K882">
        <v>2.61</v>
      </c>
      <c r="L882">
        <v>5.87</v>
      </c>
      <c r="M882">
        <v>11.8</v>
      </c>
      <c r="N882">
        <v>20.7</v>
      </c>
      <c r="O882">
        <v>20.78</v>
      </c>
      <c r="P882">
        <v>78.8</v>
      </c>
      <c r="Q882">
        <v>0.42</v>
      </c>
    </row>
    <row r="883" spans="1:17">
      <c r="A883">
        <v>1497.3</v>
      </c>
      <c r="B883">
        <v>1475.9</v>
      </c>
      <c r="C883">
        <v>995</v>
      </c>
      <c r="D883">
        <v>978</v>
      </c>
      <c r="E883" t="s">
        <v>66</v>
      </c>
      <c r="F883" t="b">
        <v>0</v>
      </c>
      <c r="G883" t="b">
        <v>0</v>
      </c>
      <c r="H883">
        <v>1.4</v>
      </c>
      <c r="I883" t="s">
        <v>159</v>
      </c>
      <c r="J883">
        <v>0.753</v>
      </c>
      <c r="K883">
        <v>2.61</v>
      </c>
      <c r="L883">
        <v>5.87</v>
      </c>
      <c r="M883">
        <v>11.8</v>
      </c>
      <c r="N883">
        <v>20.7</v>
      </c>
      <c r="O883">
        <v>20.78</v>
      </c>
      <c r="P883">
        <v>78.8</v>
      </c>
      <c r="Q883">
        <v>0.42</v>
      </c>
    </row>
    <row r="884" spans="1:17">
      <c r="A884">
        <v>1498.7</v>
      </c>
      <c r="B884">
        <v>1477.3</v>
      </c>
      <c r="C884">
        <v>996</v>
      </c>
      <c r="D884">
        <v>979</v>
      </c>
      <c r="E884" t="s">
        <v>66</v>
      </c>
      <c r="F884" t="b">
        <v>0</v>
      </c>
      <c r="G884" t="b">
        <v>0</v>
      </c>
      <c r="H884">
        <v>1.4</v>
      </c>
      <c r="I884" t="s">
        <v>159</v>
      </c>
      <c r="J884">
        <v>0.753</v>
      </c>
      <c r="K884">
        <v>2.61</v>
      </c>
      <c r="L884">
        <v>5.87</v>
      </c>
      <c r="M884">
        <v>11.8</v>
      </c>
      <c r="N884">
        <v>20.7</v>
      </c>
      <c r="O884">
        <v>20.78</v>
      </c>
      <c r="P884">
        <v>78.8</v>
      </c>
      <c r="Q884">
        <v>0.42</v>
      </c>
    </row>
    <row r="885" spans="1:17">
      <c r="A885">
        <v>1499.7</v>
      </c>
      <c r="B885">
        <v>1478.3</v>
      </c>
      <c r="C885">
        <v>997</v>
      </c>
      <c r="D885">
        <v>980</v>
      </c>
      <c r="E885" t="s">
        <v>66</v>
      </c>
      <c r="F885" t="b">
        <v>0</v>
      </c>
      <c r="G885" t="b">
        <v>0</v>
      </c>
      <c r="H885">
        <v>1</v>
      </c>
      <c r="I885" t="s">
        <v>159</v>
      </c>
      <c r="J885">
        <v>0.753</v>
      </c>
      <c r="K885">
        <v>2.61</v>
      </c>
      <c r="L885">
        <v>5.87</v>
      </c>
      <c r="M885">
        <v>11.8</v>
      </c>
      <c r="N885">
        <v>20.7</v>
      </c>
      <c r="O885">
        <v>20.78</v>
      </c>
      <c r="P885">
        <v>78.8</v>
      </c>
      <c r="Q885">
        <v>0.42</v>
      </c>
    </row>
    <row r="886" spans="1:17">
      <c r="A886">
        <v>1501.1</v>
      </c>
      <c r="B886">
        <v>1479.7</v>
      </c>
      <c r="C886">
        <v>998</v>
      </c>
      <c r="D886">
        <v>981</v>
      </c>
      <c r="E886" t="s">
        <v>66</v>
      </c>
      <c r="F886" t="b">
        <v>0</v>
      </c>
      <c r="G886" t="b">
        <v>0</v>
      </c>
      <c r="H886">
        <v>1.4</v>
      </c>
      <c r="I886" t="s">
        <v>159</v>
      </c>
      <c r="J886">
        <v>0.753</v>
      </c>
      <c r="K886">
        <v>2.61</v>
      </c>
      <c r="L886">
        <v>5.87</v>
      </c>
      <c r="M886">
        <v>11.8</v>
      </c>
      <c r="N886">
        <v>20.7</v>
      </c>
      <c r="O886">
        <v>20.78</v>
      </c>
      <c r="P886">
        <v>78.8</v>
      </c>
      <c r="Q886">
        <v>0.42</v>
      </c>
    </row>
    <row r="887" spans="1:17">
      <c r="A887">
        <v>1502.4</v>
      </c>
      <c r="B887">
        <v>1481</v>
      </c>
      <c r="C887">
        <v>999</v>
      </c>
      <c r="D887">
        <v>982</v>
      </c>
      <c r="E887" t="s">
        <v>66</v>
      </c>
      <c r="F887" t="b">
        <v>0</v>
      </c>
      <c r="G887" t="b">
        <v>0</v>
      </c>
      <c r="H887">
        <v>1.3</v>
      </c>
      <c r="I887" t="s">
        <v>159</v>
      </c>
      <c r="J887">
        <v>0.753</v>
      </c>
      <c r="K887">
        <v>2.61</v>
      </c>
      <c r="L887">
        <v>5.87</v>
      </c>
      <c r="M887">
        <v>11.8</v>
      </c>
      <c r="N887">
        <v>20.7</v>
      </c>
      <c r="O887">
        <v>20.78</v>
      </c>
      <c r="P887">
        <v>78.8</v>
      </c>
      <c r="Q887">
        <v>0.42</v>
      </c>
    </row>
    <row r="888" spans="1:17">
      <c r="A888">
        <v>1503.7</v>
      </c>
      <c r="B888">
        <v>1482.3</v>
      </c>
      <c r="C888">
        <v>1000</v>
      </c>
      <c r="D888">
        <v>983</v>
      </c>
      <c r="E888" t="s">
        <v>66</v>
      </c>
      <c r="F888" t="b">
        <v>0</v>
      </c>
      <c r="G888" t="b">
        <v>0</v>
      </c>
      <c r="H888">
        <v>1.3</v>
      </c>
      <c r="I888" t="s">
        <v>159</v>
      </c>
      <c r="J888">
        <v>0.753</v>
      </c>
      <c r="K888">
        <v>2.61</v>
      </c>
      <c r="L888">
        <v>5.87</v>
      </c>
      <c r="M888">
        <v>11.8</v>
      </c>
      <c r="N888">
        <v>20.7</v>
      </c>
      <c r="O888">
        <v>20.78</v>
      </c>
      <c r="P888">
        <v>78.8</v>
      </c>
      <c r="Q888">
        <v>0.42</v>
      </c>
    </row>
    <row r="889" spans="1:17">
      <c r="A889">
        <v>1504.5</v>
      </c>
      <c r="B889">
        <v>1483.1</v>
      </c>
      <c r="C889">
        <v>1001</v>
      </c>
      <c r="D889">
        <v>984</v>
      </c>
      <c r="E889" t="s">
        <v>66</v>
      </c>
      <c r="F889" t="b">
        <v>0</v>
      </c>
      <c r="G889" t="b">
        <v>0</v>
      </c>
      <c r="H889">
        <v>0.8</v>
      </c>
      <c r="I889" t="s">
        <v>159</v>
      </c>
      <c r="J889">
        <v>0.753</v>
      </c>
      <c r="K889">
        <v>2.61</v>
      </c>
      <c r="L889">
        <v>5.87</v>
      </c>
      <c r="M889">
        <v>11.8</v>
      </c>
      <c r="N889">
        <v>20.7</v>
      </c>
      <c r="O889">
        <v>20.78</v>
      </c>
      <c r="P889">
        <v>78.8</v>
      </c>
      <c r="Q889">
        <v>0.42</v>
      </c>
    </row>
    <row r="890" spans="1:17">
      <c r="A890">
        <v>1505.8</v>
      </c>
      <c r="B890">
        <v>1484.4</v>
      </c>
      <c r="C890">
        <v>1002</v>
      </c>
      <c r="D890">
        <v>985</v>
      </c>
      <c r="E890" t="s">
        <v>66</v>
      </c>
      <c r="F890" t="b">
        <v>0</v>
      </c>
      <c r="G890" t="b">
        <v>0</v>
      </c>
      <c r="H890">
        <v>1.4</v>
      </c>
      <c r="I890" t="s">
        <v>159</v>
      </c>
      <c r="J890">
        <v>0.753</v>
      </c>
      <c r="K890">
        <v>2.61</v>
      </c>
      <c r="L890">
        <v>5.87</v>
      </c>
      <c r="M890">
        <v>11.8</v>
      </c>
      <c r="N890">
        <v>20.7</v>
      </c>
      <c r="O890">
        <v>20.78</v>
      </c>
      <c r="P890">
        <v>78.8</v>
      </c>
      <c r="Q890">
        <v>0.42</v>
      </c>
    </row>
    <row r="891" spans="1:17">
      <c r="A891">
        <v>1507.4</v>
      </c>
      <c r="B891">
        <v>1486.1</v>
      </c>
      <c r="C891">
        <v>1003</v>
      </c>
      <c r="D891">
        <v>986</v>
      </c>
      <c r="E891" t="s">
        <v>66</v>
      </c>
      <c r="F891" t="b">
        <v>0</v>
      </c>
      <c r="G891" t="b">
        <v>0</v>
      </c>
      <c r="H891">
        <v>1.6</v>
      </c>
      <c r="I891" t="s">
        <v>159</v>
      </c>
      <c r="J891">
        <v>0.753</v>
      </c>
      <c r="K891">
        <v>2.61</v>
      </c>
      <c r="L891">
        <v>5.87</v>
      </c>
      <c r="M891">
        <v>11.8</v>
      </c>
      <c r="N891">
        <v>20.7</v>
      </c>
      <c r="O891">
        <v>20.78</v>
      </c>
      <c r="P891">
        <v>78.8</v>
      </c>
      <c r="Q891">
        <v>0.42</v>
      </c>
    </row>
    <row r="892" spans="1:17">
      <c r="A892">
        <v>1508.4</v>
      </c>
      <c r="B892">
        <v>1487</v>
      </c>
      <c r="C892">
        <v>1003</v>
      </c>
      <c r="D892">
        <v>987</v>
      </c>
      <c r="E892" t="s">
        <v>66</v>
      </c>
      <c r="F892" t="b">
        <v>0</v>
      </c>
      <c r="G892" t="b">
        <v>0</v>
      </c>
      <c r="H892">
        <v>1</v>
      </c>
      <c r="I892" t="s">
        <v>159</v>
      </c>
      <c r="J892">
        <v>0.753</v>
      </c>
      <c r="K892">
        <v>2.61</v>
      </c>
      <c r="L892">
        <v>5.87</v>
      </c>
      <c r="M892">
        <v>11.8</v>
      </c>
      <c r="N892">
        <v>20.7</v>
      </c>
      <c r="O892">
        <v>20.78</v>
      </c>
      <c r="P892">
        <v>78.8</v>
      </c>
      <c r="Q892">
        <v>0.42</v>
      </c>
    </row>
    <row r="893" spans="1:17">
      <c r="A893">
        <v>1509.6</v>
      </c>
      <c r="B893">
        <v>1488.2</v>
      </c>
      <c r="C893">
        <v>1004</v>
      </c>
      <c r="D893">
        <v>988</v>
      </c>
      <c r="E893" t="s">
        <v>66</v>
      </c>
      <c r="F893" t="b">
        <v>0</v>
      </c>
      <c r="G893" t="b">
        <v>0</v>
      </c>
      <c r="H893">
        <v>1.2</v>
      </c>
      <c r="I893">
        <v>4.8099999999999996</v>
      </c>
      <c r="J893">
        <v>0.753</v>
      </c>
      <c r="K893">
        <v>2.61</v>
      </c>
      <c r="L893">
        <v>5.87</v>
      </c>
      <c r="M893">
        <v>11.8</v>
      </c>
      <c r="N893">
        <v>20.7</v>
      </c>
      <c r="O893">
        <v>20.78</v>
      </c>
      <c r="P893">
        <v>78.8</v>
      </c>
      <c r="Q893">
        <v>0.42</v>
      </c>
    </row>
    <row r="894" spans="1:17">
      <c r="A894">
        <v>1510.2</v>
      </c>
      <c r="B894">
        <v>1488.9</v>
      </c>
      <c r="C894">
        <v>1005</v>
      </c>
      <c r="D894">
        <v>989</v>
      </c>
      <c r="E894" t="s">
        <v>66</v>
      </c>
      <c r="F894" t="b">
        <v>0</v>
      </c>
      <c r="G894" t="b">
        <v>0</v>
      </c>
      <c r="H894">
        <v>0.7</v>
      </c>
      <c r="I894">
        <v>4.8099999999999996</v>
      </c>
      <c r="J894">
        <v>0.753</v>
      </c>
      <c r="K894">
        <v>2.61</v>
      </c>
      <c r="L894">
        <v>5.87</v>
      </c>
      <c r="M894">
        <v>11.8</v>
      </c>
      <c r="N894">
        <v>20.7</v>
      </c>
      <c r="O894">
        <v>20.78</v>
      </c>
      <c r="P894">
        <v>78.8</v>
      </c>
      <c r="Q894">
        <v>0.42</v>
      </c>
    </row>
    <row r="895" spans="1:17">
      <c r="A895">
        <v>1511.3</v>
      </c>
      <c r="B895">
        <v>1489.9</v>
      </c>
      <c r="C895">
        <v>1005</v>
      </c>
      <c r="D895">
        <v>990</v>
      </c>
      <c r="E895" t="s">
        <v>66</v>
      </c>
      <c r="F895" t="b">
        <v>0</v>
      </c>
      <c r="G895" t="b">
        <v>0</v>
      </c>
      <c r="H895">
        <v>1</v>
      </c>
      <c r="I895">
        <v>4.8099999999999996</v>
      </c>
      <c r="J895">
        <v>0.753</v>
      </c>
      <c r="K895">
        <v>2.61</v>
      </c>
      <c r="L895">
        <v>5.87</v>
      </c>
      <c r="M895">
        <v>11.8</v>
      </c>
      <c r="N895">
        <v>20.7</v>
      </c>
      <c r="O895">
        <v>20.78</v>
      </c>
      <c r="P895">
        <v>78.8</v>
      </c>
      <c r="Q895">
        <v>0.42</v>
      </c>
    </row>
    <row r="896" spans="1:17">
      <c r="A896">
        <v>1513</v>
      </c>
      <c r="B896">
        <v>1491.7</v>
      </c>
      <c r="C896">
        <v>1007</v>
      </c>
      <c r="D896">
        <v>991</v>
      </c>
      <c r="E896" t="s">
        <v>66</v>
      </c>
      <c r="F896" t="b">
        <v>0</v>
      </c>
      <c r="G896" t="b">
        <v>0</v>
      </c>
      <c r="H896">
        <v>1.8</v>
      </c>
      <c r="I896">
        <v>4.8099999999999996</v>
      </c>
      <c r="J896">
        <v>0.753</v>
      </c>
      <c r="K896">
        <v>2.61</v>
      </c>
      <c r="L896">
        <v>5.87</v>
      </c>
      <c r="M896">
        <v>11.8</v>
      </c>
      <c r="N896">
        <v>20.7</v>
      </c>
      <c r="O896">
        <v>20.78</v>
      </c>
      <c r="P896">
        <v>78.8</v>
      </c>
      <c r="Q896">
        <v>0.42</v>
      </c>
    </row>
    <row r="897" spans="1:17">
      <c r="A897">
        <v>1514.7</v>
      </c>
      <c r="B897">
        <v>1493.3</v>
      </c>
      <c r="C897">
        <v>1008</v>
      </c>
      <c r="D897">
        <v>992</v>
      </c>
      <c r="E897" t="s">
        <v>66</v>
      </c>
      <c r="F897" t="b">
        <v>0</v>
      </c>
      <c r="G897" t="b">
        <v>0</v>
      </c>
      <c r="H897">
        <v>1.6</v>
      </c>
      <c r="I897">
        <v>4.8099999999999996</v>
      </c>
      <c r="J897">
        <v>0.753</v>
      </c>
      <c r="K897">
        <v>2.61</v>
      </c>
      <c r="L897">
        <v>5.87</v>
      </c>
      <c r="M897">
        <v>11.8</v>
      </c>
      <c r="N897">
        <v>20.7</v>
      </c>
      <c r="O897">
        <v>20.78</v>
      </c>
      <c r="P897">
        <v>78.8</v>
      </c>
      <c r="Q897">
        <v>0.42</v>
      </c>
    </row>
    <row r="898" spans="1:17">
      <c r="A898">
        <v>1515.8</v>
      </c>
      <c r="B898">
        <v>1494.5</v>
      </c>
      <c r="C898">
        <v>1009</v>
      </c>
      <c r="D898">
        <v>993</v>
      </c>
      <c r="E898" t="s">
        <v>66</v>
      </c>
      <c r="F898" t="b">
        <v>0</v>
      </c>
      <c r="G898" t="b">
        <v>0</v>
      </c>
      <c r="H898">
        <v>1.2</v>
      </c>
      <c r="I898">
        <v>4.8099999999999996</v>
      </c>
      <c r="J898" t="s">
        <v>159</v>
      </c>
      <c r="K898" t="s">
        <v>159</v>
      </c>
      <c r="L898" t="s">
        <v>159</v>
      </c>
      <c r="M898" t="s">
        <v>159</v>
      </c>
      <c r="N898" t="s">
        <v>159</v>
      </c>
      <c r="O898" t="s">
        <v>159</v>
      </c>
      <c r="P898" t="s">
        <v>159</v>
      </c>
      <c r="Q898" t="s">
        <v>159</v>
      </c>
    </row>
    <row r="899" spans="1:17">
      <c r="A899">
        <v>1517.1</v>
      </c>
      <c r="B899">
        <v>1495.7</v>
      </c>
      <c r="C899">
        <v>1010</v>
      </c>
      <c r="D899">
        <v>994</v>
      </c>
      <c r="E899" t="s">
        <v>66</v>
      </c>
      <c r="F899" t="b">
        <v>0</v>
      </c>
      <c r="G899" t="b">
        <v>0</v>
      </c>
      <c r="H899">
        <v>1.3</v>
      </c>
      <c r="I899">
        <v>4.8099999999999996</v>
      </c>
      <c r="J899" t="s">
        <v>159</v>
      </c>
      <c r="K899" t="s">
        <v>159</v>
      </c>
      <c r="L899" t="s">
        <v>159</v>
      </c>
      <c r="M899" t="s">
        <v>159</v>
      </c>
      <c r="N899" t="s">
        <v>159</v>
      </c>
      <c r="O899" t="s">
        <v>159</v>
      </c>
      <c r="P899" t="s">
        <v>159</v>
      </c>
      <c r="Q899" t="s">
        <v>159</v>
      </c>
    </row>
    <row r="900" spans="1:17">
      <c r="A900">
        <v>1518.3</v>
      </c>
      <c r="B900">
        <v>1496.9</v>
      </c>
      <c r="C900">
        <v>1011</v>
      </c>
      <c r="D900">
        <v>995</v>
      </c>
      <c r="E900" t="s">
        <v>66</v>
      </c>
      <c r="F900" t="b">
        <v>0</v>
      </c>
      <c r="G900" t="b">
        <v>0</v>
      </c>
      <c r="H900">
        <v>1.2</v>
      </c>
      <c r="I900">
        <v>4.8099999999999996</v>
      </c>
      <c r="J900" t="s">
        <v>159</v>
      </c>
      <c r="K900" t="s">
        <v>159</v>
      </c>
      <c r="L900" t="s">
        <v>159</v>
      </c>
      <c r="M900" t="s">
        <v>159</v>
      </c>
      <c r="N900" t="s">
        <v>159</v>
      </c>
      <c r="O900" t="s">
        <v>159</v>
      </c>
      <c r="P900" t="s">
        <v>159</v>
      </c>
      <c r="Q900" t="s">
        <v>159</v>
      </c>
    </row>
    <row r="901" spans="1:17">
      <c r="A901">
        <v>1520.3</v>
      </c>
      <c r="B901">
        <v>1498.9</v>
      </c>
      <c r="C901">
        <v>1012</v>
      </c>
      <c r="D901">
        <v>996</v>
      </c>
      <c r="E901" t="s">
        <v>66</v>
      </c>
      <c r="F901" t="b">
        <v>0</v>
      </c>
      <c r="G901" t="b">
        <v>0</v>
      </c>
      <c r="H901">
        <v>2</v>
      </c>
      <c r="I901">
        <v>4.8099999999999996</v>
      </c>
      <c r="J901" t="s">
        <v>159</v>
      </c>
      <c r="K901" t="s">
        <v>159</v>
      </c>
      <c r="L901" t="s">
        <v>159</v>
      </c>
      <c r="M901" t="s">
        <v>159</v>
      </c>
      <c r="N901" t="s">
        <v>159</v>
      </c>
      <c r="O901" t="s">
        <v>159</v>
      </c>
      <c r="P901" t="s">
        <v>159</v>
      </c>
      <c r="Q901" t="s">
        <v>159</v>
      </c>
    </row>
    <row r="902" spans="1:17">
      <c r="A902">
        <v>1522.3</v>
      </c>
      <c r="B902">
        <v>1500.9</v>
      </c>
      <c r="C902">
        <v>1013</v>
      </c>
      <c r="D902">
        <v>997</v>
      </c>
      <c r="E902" t="s">
        <v>66</v>
      </c>
      <c r="F902" t="b">
        <v>0</v>
      </c>
      <c r="G902" t="b">
        <v>0</v>
      </c>
      <c r="H902">
        <v>2.1</v>
      </c>
      <c r="I902">
        <v>4.8099999999999996</v>
      </c>
      <c r="J902" t="s">
        <v>159</v>
      </c>
      <c r="K902" t="s">
        <v>159</v>
      </c>
      <c r="L902" t="s">
        <v>159</v>
      </c>
      <c r="M902" t="s">
        <v>159</v>
      </c>
      <c r="N902" t="s">
        <v>159</v>
      </c>
      <c r="O902" t="s">
        <v>159</v>
      </c>
      <c r="P902" t="s">
        <v>159</v>
      </c>
      <c r="Q902" t="s">
        <v>159</v>
      </c>
    </row>
    <row r="903" spans="1:17">
      <c r="A903">
        <v>1523.2</v>
      </c>
      <c r="B903">
        <v>1501.9</v>
      </c>
      <c r="C903">
        <v>1014</v>
      </c>
      <c r="D903">
        <v>998</v>
      </c>
      <c r="E903" t="s">
        <v>66</v>
      </c>
      <c r="F903" t="b">
        <v>0</v>
      </c>
      <c r="G903" t="b">
        <v>0</v>
      </c>
      <c r="H903">
        <v>0.9</v>
      </c>
      <c r="I903">
        <v>4.8099999999999996</v>
      </c>
      <c r="J903" t="s">
        <v>159</v>
      </c>
      <c r="K903" t="s">
        <v>159</v>
      </c>
      <c r="L903" t="s">
        <v>159</v>
      </c>
      <c r="M903" t="s">
        <v>159</v>
      </c>
      <c r="N903" t="s">
        <v>159</v>
      </c>
      <c r="O903" t="s">
        <v>159</v>
      </c>
      <c r="P903" t="s">
        <v>159</v>
      </c>
      <c r="Q903" t="s">
        <v>159</v>
      </c>
    </row>
    <row r="904" spans="1:17">
      <c r="A904">
        <v>1525</v>
      </c>
      <c r="B904">
        <v>1503.6</v>
      </c>
      <c r="C904">
        <v>1015</v>
      </c>
      <c r="D904">
        <v>999</v>
      </c>
      <c r="E904" t="s">
        <v>66</v>
      </c>
      <c r="F904" t="b">
        <v>0</v>
      </c>
      <c r="G904" t="b">
        <v>0</v>
      </c>
      <c r="H904">
        <v>1.8</v>
      </c>
      <c r="I904">
        <v>4.8099999999999996</v>
      </c>
      <c r="J904" t="s">
        <v>159</v>
      </c>
      <c r="K904" t="s">
        <v>159</v>
      </c>
      <c r="L904" t="s">
        <v>159</v>
      </c>
      <c r="M904" t="s">
        <v>159</v>
      </c>
      <c r="N904" t="s">
        <v>159</v>
      </c>
      <c r="O904" t="s">
        <v>159</v>
      </c>
      <c r="P904" t="s">
        <v>159</v>
      </c>
      <c r="Q904" t="s">
        <v>159</v>
      </c>
    </row>
    <row r="905" spans="1:17">
      <c r="A905">
        <v>1526.5</v>
      </c>
      <c r="B905">
        <v>1505.2</v>
      </c>
      <c r="C905">
        <v>1016</v>
      </c>
      <c r="D905">
        <v>1000</v>
      </c>
      <c r="E905" t="s">
        <v>66</v>
      </c>
      <c r="F905" t="b">
        <v>0</v>
      </c>
      <c r="G905" t="b">
        <v>0</v>
      </c>
      <c r="H905">
        <v>1.5</v>
      </c>
      <c r="I905">
        <v>4.8099999999999996</v>
      </c>
      <c r="J905" t="s">
        <v>159</v>
      </c>
      <c r="K905" t="s">
        <v>159</v>
      </c>
      <c r="L905" t="s">
        <v>159</v>
      </c>
      <c r="M905" t="s">
        <v>159</v>
      </c>
      <c r="N905" t="s">
        <v>159</v>
      </c>
      <c r="O905" t="s">
        <v>159</v>
      </c>
      <c r="P905" t="s">
        <v>159</v>
      </c>
      <c r="Q905" t="s">
        <v>159</v>
      </c>
    </row>
    <row r="906" spans="1:17">
      <c r="A906">
        <v>1527.8</v>
      </c>
      <c r="B906">
        <v>1506.4</v>
      </c>
      <c r="C906">
        <v>1017</v>
      </c>
      <c r="D906">
        <v>1001</v>
      </c>
      <c r="E906" t="s">
        <v>66</v>
      </c>
      <c r="F906" t="b">
        <v>0</v>
      </c>
      <c r="G906" t="b">
        <v>0</v>
      </c>
      <c r="H906">
        <v>1.3</v>
      </c>
      <c r="I906">
        <v>4.8099999999999996</v>
      </c>
      <c r="J906" t="s">
        <v>159</v>
      </c>
      <c r="K906" t="s">
        <v>159</v>
      </c>
      <c r="L906" t="s">
        <v>159</v>
      </c>
      <c r="M906" t="s">
        <v>159</v>
      </c>
      <c r="N906" t="s">
        <v>159</v>
      </c>
      <c r="O906" t="s">
        <v>159</v>
      </c>
      <c r="P906" t="s">
        <v>159</v>
      </c>
      <c r="Q906" t="s">
        <v>159</v>
      </c>
    </row>
    <row r="907" spans="1:17">
      <c r="A907">
        <v>1529.5</v>
      </c>
      <c r="B907">
        <v>1508.2</v>
      </c>
      <c r="C907">
        <v>1019</v>
      </c>
      <c r="D907">
        <v>1002</v>
      </c>
      <c r="E907" t="s">
        <v>66</v>
      </c>
      <c r="F907" t="b">
        <v>0</v>
      </c>
      <c r="G907" t="b">
        <v>0</v>
      </c>
      <c r="H907">
        <v>1.7</v>
      </c>
      <c r="I907">
        <v>4.8099999999999996</v>
      </c>
      <c r="J907" t="s">
        <v>159</v>
      </c>
      <c r="K907" t="s">
        <v>159</v>
      </c>
      <c r="L907" t="s">
        <v>159</v>
      </c>
      <c r="M907" t="s">
        <v>159</v>
      </c>
      <c r="N907" t="s">
        <v>159</v>
      </c>
      <c r="O907" t="s">
        <v>159</v>
      </c>
      <c r="P907" t="s">
        <v>159</v>
      </c>
      <c r="Q907" t="s">
        <v>159</v>
      </c>
    </row>
    <row r="908" spans="1:17">
      <c r="A908">
        <v>1531.2</v>
      </c>
      <c r="B908">
        <v>1509.8</v>
      </c>
      <c r="C908">
        <v>1020</v>
      </c>
      <c r="D908">
        <v>1003</v>
      </c>
      <c r="E908" t="s">
        <v>66</v>
      </c>
      <c r="F908" t="b">
        <v>0</v>
      </c>
      <c r="G908" t="b">
        <v>0</v>
      </c>
      <c r="H908">
        <v>1.7</v>
      </c>
      <c r="I908" t="s">
        <v>159</v>
      </c>
      <c r="J908" t="s">
        <v>159</v>
      </c>
      <c r="K908" t="s">
        <v>159</v>
      </c>
      <c r="L908" t="s">
        <v>159</v>
      </c>
      <c r="M908" t="s">
        <v>159</v>
      </c>
      <c r="N908" t="s">
        <v>159</v>
      </c>
      <c r="O908" t="s">
        <v>159</v>
      </c>
      <c r="P908" t="s">
        <v>159</v>
      </c>
      <c r="Q908" t="s">
        <v>159</v>
      </c>
    </row>
    <row r="909" spans="1:17">
      <c r="A909">
        <v>1543.3</v>
      </c>
      <c r="B909">
        <v>1521.9</v>
      </c>
      <c r="C909">
        <v>1029</v>
      </c>
      <c r="D909">
        <v>1011</v>
      </c>
      <c r="E909" t="s">
        <v>66</v>
      </c>
      <c r="F909" t="b">
        <v>0</v>
      </c>
      <c r="G909" t="b">
        <v>1</v>
      </c>
      <c r="H909">
        <v>12.1</v>
      </c>
      <c r="I909" t="s">
        <v>159</v>
      </c>
      <c r="J909" t="s">
        <v>159</v>
      </c>
      <c r="K909" t="s">
        <v>159</v>
      </c>
      <c r="L909" t="s">
        <v>159</v>
      </c>
      <c r="M909" t="s">
        <v>159</v>
      </c>
      <c r="N909" t="s">
        <v>159</v>
      </c>
      <c r="O909" t="s">
        <v>159</v>
      </c>
      <c r="P909" t="s">
        <v>159</v>
      </c>
      <c r="Q909" t="s">
        <v>159</v>
      </c>
    </row>
    <row r="910" spans="1:17">
      <c r="A910">
        <v>1545.4</v>
      </c>
      <c r="B910">
        <v>1524</v>
      </c>
      <c r="C910">
        <v>1030</v>
      </c>
      <c r="D910">
        <v>1012</v>
      </c>
      <c r="E910" t="s">
        <v>66</v>
      </c>
      <c r="F910" t="b">
        <v>0</v>
      </c>
      <c r="G910" t="b">
        <v>0</v>
      </c>
      <c r="H910">
        <v>2.1</v>
      </c>
      <c r="I910" t="s">
        <v>159</v>
      </c>
      <c r="J910" t="s">
        <v>159</v>
      </c>
      <c r="K910" t="s">
        <v>159</v>
      </c>
      <c r="L910" t="s">
        <v>159</v>
      </c>
      <c r="M910" t="s">
        <v>159</v>
      </c>
      <c r="N910" t="s">
        <v>159</v>
      </c>
      <c r="O910" t="s">
        <v>159</v>
      </c>
      <c r="P910" t="s">
        <v>159</v>
      </c>
      <c r="Q910" t="s">
        <v>159</v>
      </c>
    </row>
    <row r="911" spans="1:17">
      <c r="A911">
        <v>1547</v>
      </c>
      <c r="B911">
        <v>1525.6</v>
      </c>
      <c r="C911">
        <v>1031</v>
      </c>
      <c r="D911">
        <v>1013</v>
      </c>
      <c r="E911" t="s">
        <v>66</v>
      </c>
      <c r="F911" t="b">
        <v>0</v>
      </c>
      <c r="G911" t="b">
        <v>0</v>
      </c>
      <c r="H911">
        <v>1.6</v>
      </c>
      <c r="I911" t="s">
        <v>159</v>
      </c>
      <c r="J911" t="s">
        <v>159</v>
      </c>
      <c r="K911" t="s">
        <v>159</v>
      </c>
      <c r="L911" t="s">
        <v>159</v>
      </c>
      <c r="M911" t="s">
        <v>159</v>
      </c>
      <c r="N911" t="s">
        <v>159</v>
      </c>
      <c r="O911" t="s">
        <v>159</v>
      </c>
      <c r="P911" t="s">
        <v>159</v>
      </c>
      <c r="Q911" t="s">
        <v>159</v>
      </c>
    </row>
    <row r="912" spans="1:17">
      <c r="A912">
        <v>1549.1</v>
      </c>
      <c r="B912">
        <v>1527.8</v>
      </c>
      <c r="C912">
        <v>1033</v>
      </c>
      <c r="D912">
        <v>1014</v>
      </c>
      <c r="E912" t="s">
        <v>66</v>
      </c>
      <c r="F912" t="b">
        <v>0</v>
      </c>
      <c r="G912" t="b">
        <v>0</v>
      </c>
      <c r="H912">
        <v>2.1</v>
      </c>
      <c r="I912" t="s">
        <v>159</v>
      </c>
      <c r="J912" t="s">
        <v>159</v>
      </c>
      <c r="K912" t="s">
        <v>159</v>
      </c>
      <c r="L912" t="s">
        <v>159</v>
      </c>
      <c r="M912" t="s">
        <v>159</v>
      </c>
      <c r="N912" t="s">
        <v>159</v>
      </c>
      <c r="O912" t="s">
        <v>159</v>
      </c>
      <c r="P912" t="s">
        <v>159</v>
      </c>
      <c r="Q912" t="s">
        <v>159</v>
      </c>
    </row>
    <row r="913" spans="1:17">
      <c r="A913">
        <v>1550.7</v>
      </c>
      <c r="B913">
        <v>1529.3</v>
      </c>
      <c r="C913">
        <v>1034</v>
      </c>
      <c r="D913">
        <v>1015</v>
      </c>
      <c r="E913" t="s">
        <v>66</v>
      </c>
      <c r="F913" t="b">
        <v>0</v>
      </c>
      <c r="G913" t="b">
        <v>0</v>
      </c>
      <c r="H913">
        <v>1.6</v>
      </c>
      <c r="I913" t="s">
        <v>159</v>
      </c>
      <c r="J913" t="s">
        <v>159</v>
      </c>
      <c r="K913" t="s">
        <v>159</v>
      </c>
      <c r="L913" t="s">
        <v>159</v>
      </c>
      <c r="M913" t="s">
        <v>159</v>
      </c>
      <c r="N913" t="s">
        <v>159</v>
      </c>
      <c r="O913" t="s">
        <v>159</v>
      </c>
      <c r="P913" t="s">
        <v>159</v>
      </c>
      <c r="Q913" t="s">
        <v>159</v>
      </c>
    </row>
    <row r="914" spans="1:17">
      <c r="A914">
        <v>1551.8</v>
      </c>
      <c r="B914">
        <v>1530.5</v>
      </c>
      <c r="C914">
        <v>1035</v>
      </c>
      <c r="D914">
        <v>1016</v>
      </c>
      <c r="E914" t="s">
        <v>66</v>
      </c>
      <c r="F914" t="b">
        <v>0</v>
      </c>
      <c r="G914" t="b">
        <v>0</v>
      </c>
      <c r="H914">
        <v>1.2</v>
      </c>
      <c r="I914" t="s">
        <v>159</v>
      </c>
      <c r="J914" t="s">
        <v>159</v>
      </c>
      <c r="K914" t="s">
        <v>159</v>
      </c>
      <c r="L914" t="s">
        <v>159</v>
      </c>
      <c r="M914" t="s">
        <v>159</v>
      </c>
      <c r="N914" t="s">
        <v>159</v>
      </c>
      <c r="O914" t="s">
        <v>159</v>
      </c>
      <c r="P914" t="s">
        <v>159</v>
      </c>
      <c r="Q914" t="s">
        <v>159</v>
      </c>
    </row>
    <row r="915" spans="1:17">
      <c r="A915">
        <v>1557.8</v>
      </c>
      <c r="B915">
        <v>1536.5</v>
      </c>
      <c r="C915">
        <v>1039</v>
      </c>
      <c r="D915">
        <v>1020</v>
      </c>
      <c r="E915" t="s">
        <v>66</v>
      </c>
      <c r="F915" t="b">
        <v>0</v>
      </c>
      <c r="G915" t="b">
        <v>1</v>
      </c>
      <c r="H915">
        <v>6</v>
      </c>
      <c r="I915" t="s">
        <v>159</v>
      </c>
      <c r="J915" t="s">
        <v>159</v>
      </c>
      <c r="K915" t="s">
        <v>159</v>
      </c>
      <c r="L915" t="s">
        <v>159</v>
      </c>
      <c r="M915" t="s">
        <v>159</v>
      </c>
      <c r="N915" t="s">
        <v>159</v>
      </c>
      <c r="O915" t="s">
        <v>159</v>
      </c>
      <c r="P915" t="s">
        <v>159</v>
      </c>
      <c r="Q915" t="s">
        <v>159</v>
      </c>
    </row>
    <row r="916" spans="1:17">
      <c r="A916">
        <v>1559.3</v>
      </c>
      <c r="B916">
        <v>1537.9</v>
      </c>
      <c r="C916">
        <v>1040</v>
      </c>
      <c r="D916">
        <v>1021</v>
      </c>
      <c r="E916" t="s">
        <v>66</v>
      </c>
      <c r="F916" t="b">
        <v>0</v>
      </c>
      <c r="G916" t="b">
        <v>0</v>
      </c>
      <c r="H916">
        <v>1.4</v>
      </c>
      <c r="I916" t="s">
        <v>159</v>
      </c>
      <c r="J916" t="s">
        <v>159</v>
      </c>
      <c r="K916" t="s">
        <v>159</v>
      </c>
      <c r="L916" t="s">
        <v>159</v>
      </c>
      <c r="M916" t="s">
        <v>159</v>
      </c>
      <c r="N916" t="s">
        <v>159</v>
      </c>
      <c r="O916" t="s">
        <v>159</v>
      </c>
      <c r="P916" t="s">
        <v>159</v>
      </c>
      <c r="Q916" t="s">
        <v>159</v>
      </c>
    </row>
    <row r="917" spans="1:17">
      <c r="A917">
        <v>1560.6</v>
      </c>
      <c r="B917">
        <v>1539.3</v>
      </c>
      <c r="C917">
        <v>1041</v>
      </c>
      <c r="D917">
        <v>1022</v>
      </c>
      <c r="E917" t="s">
        <v>66</v>
      </c>
      <c r="F917" t="b">
        <v>0</v>
      </c>
      <c r="G917" t="b">
        <v>0</v>
      </c>
      <c r="H917">
        <v>1.4</v>
      </c>
      <c r="I917">
        <v>4.7670000000000003</v>
      </c>
      <c r="J917" t="s">
        <v>159</v>
      </c>
      <c r="K917" t="s">
        <v>159</v>
      </c>
      <c r="L917" t="s">
        <v>159</v>
      </c>
      <c r="M917" t="s">
        <v>159</v>
      </c>
      <c r="N917" t="s">
        <v>159</v>
      </c>
      <c r="O917" t="s">
        <v>159</v>
      </c>
      <c r="P917" t="s">
        <v>159</v>
      </c>
      <c r="Q917" t="s">
        <v>159</v>
      </c>
    </row>
    <row r="918" spans="1:17">
      <c r="A918">
        <v>1561.9</v>
      </c>
      <c r="B918">
        <v>1540.5</v>
      </c>
      <c r="C918">
        <v>1042</v>
      </c>
      <c r="D918">
        <v>1023</v>
      </c>
      <c r="E918" t="s">
        <v>66</v>
      </c>
      <c r="F918" t="b">
        <v>0</v>
      </c>
      <c r="G918" t="b">
        <v>0</v>
      </c>
      <c r="H918">
        <v>1.2</v>
      </c>
      <c r="I918">
        <v>4.7670000000000003</v>
      </c>
      <c r="J918" t="s">
        <v>159</v>
      </c>
      <c r="K918" t="s">
        <v>159</v>
      </c>
      <c r="L918" t="s">
        <v>159</v>
      </c>
      <c r="M918" t="s">
        <v>159</v>
      </c>
      <c r="N918" t="s">
        <v>159</v>
      </c>
      <c r="O918" t="s">
        <v>159</v>
      </c>
      <c r="P918" t="s">
        <v>159</v>
      </c>
      <c r="Q918" t="s">
        <v>159</v>
      </c>
    </row>
    <row r="919" spans="1:17">
      <c r="A919">
        <v>1563.3</v>
      </c>
      <c r="B919">
        <v>1542</v>
      </c>
      <c r="C919">
        <v>1043</v>
      </c>
      <c r="D919">
        <v>1024</v>
      </c>
      <c r="E919" t="s">
        <v>66</v>
      </c>
      <c r="F919" t="b">
        <v>0</v>
      </c>
      <c r="G919" t="b">
        <v>0</v>
      </c>
      <c r="H919">
        <v>1.5</v>
      </c>
      <c r="I919">
        <v>4.7670000000000003</v>
      </c>
      <c r="J919" t="s">
        <v>159</v>
      </c>
      <c r="K919" t="s">
        <v>159</v>
      </c>
      <c r="L919" t="s">
        <v>159</v>
      </c>
      <c r="M919" t="s">
        <v>159</v>
      </c>
      <c r="N919" t="s">
        <v>159</v>
      </c>
      <c r="O919" t="s">
        <v>159</v>
      </c>
      <c r="P919" t="s">
        <v>159</v>
      </c>
      <c r="Q919" t="s">
        <v>159</v>
      </c>
    </row>
    <row r="920" spans="1:17">
      <c r="A920">
        <v>1564.8</v>
      </c>
      <c r="B920">
        <v>1543.4</v>
      </c>
      <c r="C920">
        <v>1044</v>
      </c>
      <c r="D920">
        <v>1025</v>
      </c>
      <c r="E920" t="s">
        <v>66</v>
      </c>
      <c r="F920" t="b">
        <v>0</v>
      </c>
      <c r="G920" t="b">
        <v>0</v>
      </c>
      <c r="H920">
        <v>1.4</v>
      </c>
      <c r="I920">
        <v>4.7670000000000003</v>
      </c>
      <c r="J920" t="s">
        <v>159</v>
      </c>
      <c r="K920" t="s">
        <v>159</v>
      </c>
      <c r="L920" t="s">
        <v>159</v>
      </c>
      <c r="M920" t="s">
        <v>159</v>
      </c>
      <c r="N920" t="s">
        <v>159</v>
      </c>
      <c r="O920" t="s">
        <v>159</v>
      </c>
      <c r="P920" t="s">
        <v>159</v>
      </c>
      <c r="Q920" t="s">
        <v>159</v>
      </c>
    </row>
    <row r="921" spans="1:17">
      <c r="A921">
        <v>1566</v>
      </c>
      <c r="B921">
        <v>1544.6</v>
      </c>
      <c r="C921">
        <v>1045</v>
      </c>
      <c r="D921">
        <v>1026</v>
      </c>
      <c r="E921" t="s">
        <v>66</v>
      </c>
      <c r="F921" t="b">
        <v>0</v>
      </c>
      <c r="G921" t="b">
        <v>0</v>
      </c>
      <c r="H921">
        <v>1.2</v>
      </c>
      <c r="I921">
        <v>4.7670000000000003</v>
      </c>
      <c r="J921" t="s">
        <v>159</v>
      </c>
      <c r="K921" t="s">
        <v>159</v>
      </c>
      <c r="L921" t="s">
        <v>159</v>
      </c>
      <c r="M921" t="s">
        <v>159</v>
      </c>
      <c r="N921" t="s">
        <v>159</v>
      </c>
      <c r="O921" t="s">
        <v>159</v>
      </c>
      <c r="P921" t="s">
        <v>159</v>
      </c>
      <c r="Q921" t="s">
        <v>159</v>
      </c>
    </row>
    <row r="922" spans="1:17">
      <c r="A922">
        <v>1570.5</v>
      </c>
      <c r="B922">
        <v>1549.2</v>
      </c>
      <c r="C922">
        <v>1048</v>
      </c>
      <c r="D922">
        <v>1029</v>
      </c>
      <c r="E922" t="s">
        <v>66</v>
      </c>
      <c r="F922" t="b">
        <v>0</v>
      </c>
      <c r="G922" t="b">
        <v>1</v>
      </c>
      <c r="H922">
        <v>4.5</v>
      </c>
      <c r="I922">
        <v>4.7670000000000003</v>
      </c>
      <c r="J922" t="s">
        <v>159</v>
      </c>
      <c r="K922" t="s">
        <v>159</v>
      </c>
      <c r="L922" t="s">
        <v>159</v>
      </c>
      <c r="M922" t="s">
        <v>159</v>
      </c>
      <c r="N922" t="s">
        <v>159</v>
      </c>
      <c r="O922" t="s">
        <v>159</v>
      </c>
      <c r="P922" t="s">
        <v>159</v>
      </c>
      <c r="Q922" t="s">
        <v>159</v>
      </c>
    </row>
    <row r="923" spans="1:17">
      <c r="A923">
        <v>1571.9</v>
      </c>
      <c r="B923">
        <v>1550.5</v>
      </c>
      <c r="C923">
        <v>1049</v>
      </c>
      <c r="D923">
        <v>1030</v>
      </c>
      <c r="E923" t="s">
        <v>66</v>
      </c>
      <c r="F923" t="b">
        <v>0</v>
      </c>
      <c r="G923" t="b">
        <v>0</v>
      </c>
      <c r="H923">
        <v>1.4</v>
      </c>
      <c r="I923">
        <v>4.7670000000000003</v>
      </c>
      <c r="J923" t="s">
        <v>159</v>
      </c>
      <c r="K923" t="s">
        <v>159</v>
      </c>
      <c r="L923" t="s">
        <v>159</v>
      </c>
      <c r="M923" t="s">
        <v>159</v>
      </c>
      <c r="N923" t="s">
        <v>159</v>
      </c>
      <c r="O923" t="s">
        <v>159</v>
      </c>
      <c r="P923" t="s">
        <v>159</v>
      </c>
      <c r="Q923" t="s">
        <v>159</v>
      </c>
    </row>
    <row r="924" spans="1:17">
      <c r="A924">
        <v>1573.2</v>
      </c>
      <c r="B924">
        <v>1551.8</v>
      </c>
      <c r="C924">
        <v>1050</v>
      </c>
      <c r="D924">
        <v>1031</v>
      </c>
      <c r="E924" t="s">
        <v>66</v>
      </c>
      <c r="F924" t="b">
        <v>0</v>
      </c>
      <c r="G924" t="b">
        <v>0</v>
      </c>
      <c r="H924">
        <v>1.3</v>
      </c>
      <c r="I924">
        <v>4.7670000000000003</v>
      </c>
      <c r="J924" t="s">
        <v>159</v>
      </c>
      <c r="K924" t="s">
        <v>159</v>
      </c>
      <c r="L924" t="s">
        <v>159</v>
      </c>
      <c r="M924" t="s">
        <v>159</v>
      </c>
      <c r="N924" t="s">
        <v>159</v>
      </c>
      <c r="O924" t="s">
        <v>159</v>
      </c>
      <c r="P924" t="s">
        <v>159</v>
      </c>
      <c r="Q924" t="s">
        <v>159</v>
      </c>
    </row>
    <row r="925" spans="1:17">
      <c r="A925">
        <v>1574.4</v>
      </c>
      <c r="B925">
        <v>1553.1</v>
      </c>
      <c r="C925">
        <v>1051</v>
      </c>
      <c r="D925">
        <v>1032</v>
      </c>
      <c r="E925" t="s">
        <v>66</v>
      </c>
      <c r="F925" t="b">
        <v>0</v>
      </c>
      <c r="G925" t="b">
        <v>0</v>
      </c>
      <c r="H925">
        <v>1.3</v>
      </c>
      <c r="I925">
        <v>4.7670000000000003</v>
      </c>
      <c r="J925" t="s">
        <v>159</v>
      </c>
      <c r="K925" t="s">
        <v>159</v>
      </c>
      <c r="L925" t="s">
        <v>159</v>
      </c>
      <c r="M925" t="s">
        <v>159</v>
      </c>
      <c r="N925" t="s">
        <v>159</v>
      </c>
      <c r="O925" t="s">
        <v>159</v>
      </c>
      <c r="P925" t="s">
        <v>159</v>
      </c>
      <c r="Q925" t="s">
        <v>159</v>
      </c>
    </row>
    <row r="926" spans="1:17">
      <c r="A926">
        <v>1577.4</v>
      </c>
      <c r="B926">
        <v>1556.1</v>
      </c>
      <c r="C926">
        <v>1053</v>
      </c>
      <c r="D926">
        <v>1033</v>
      </c>
      <c r="E926" t="s">
        <v>66</v>
      </c>
      <c r="F926" t="b">
        <v>0</v>
      </c>
      <c r="G926" t="b">
        <v>0</v>
      </c>
      <c r="H926">
        <v>3</v>
      </c>
      <c r="I926">
        <v>4.7670000000000003</v>
      </c>
      <c r="J926" t="s">
        <v>159</v>
      </c>
      <c r="K926" t="s">
        <v>159</v>
      </c>
      <c r="L926" t="s">
        <v>159</v>
      </c>
      <c r="M926" t="s">
        <v>159</v>
      </c>
      <c r="N926" t="s">
        <v>159</v>
      </c>
      <c r="O926" t="s">
        <v>159</v>
      </c>
      <c r="P926" t="s">
        <v>159</v>
      </c>
      <c r="Q926" t="s">
        <v>159</v>
      </c>
    </row>
    <row r="927" spans="1:17">
      <c r="A927">
        <v>1578.3</v>
      </c>
      <c r="B927">
        <v>1556.9</v>
      </c>
      <c r="C927">
        <v>1054</v>
      </c>
      <c r="D927">
        <v>1034</v>
      </c>
      <c r="E927" t="s">
        <v>66</v>
      </c>
      <c r="F927" t="b">
        <v>0</v>
      </c>
      <c r="G927" t="b">
        <v>0</v>
      </c>
      <c r="H927">
        <v>0.8</v>
      </c>
      <c r="I927">
        <v>4.7670000000000003</v>
      </c>
      <c r="J927" t="s">
        <v>159</v>
      </c>
      <c r="K927" t="s">
        <v>159</v>
      </c>
      <c r="L927" t="s">
        <v>159</v>
      </c>
      <c r="M927" t="s">
        <v>159</v>
      </c>
      <c r="N927" t="s">
        <v>159</v>
      </c>
      <c r="O927" t="s">
        <v>159</v>
      </c>
      <c r="P927" t="s">
        <v>159</v>
      </c>
      <c r="Q927" t="s">
        <v>159</v>
      </c>
    </row>
    <row r="928" spans="1:17">
      <c r="A928">
        <v>1578.7</v>
      </c>
      <c r="B928">
        <v>1557.3</v>
      </c>
      <c r="C928">
        <v>1054</v>
      </c>
      <c r="D928">
        <v>1035</v>
      </c>
      <c r="E928" t="s">
        <v>66</v>
      </c>
      <c r="F928" t="b">
        <v>0</v>
      </c>
      <c r="G928" t="b">
        <v>0</v>
      </c>
      <c r="H928">
        <v>0.4</v>
      </c>
      <c r="I928">
        <v>4.7670000000000003</v>
      </c>
      <c r="J928" t="s">
        <v>159</v>
      </c>
      <c r="K928" t="s">
        <v>159</v>
      </c>
      <c r="L928" t="s">
        <v>159</v>
      </c>
      <c r="M928" t="s">
        <v>159</v>
      </c>
      <c r="N928" t="s">
        <v>159</v>
      </c>
      <c r="O928" t="s">
        <v>159</v>
      </c>
      <c r="P928" t="s">
        <v>159</v>
      </c>
      <c r="Q928" t="s">
        <v>159</v>
      </c>
    </row>
    <row r="929" spans="1:17">
      <c r="A929">
        <v>1579.1</v>
      </c>
      <c r="B929">
        <v>1557.7</v>
      </c>
      <c r="C929">
        <v>1054</v>
      </c>
      <c r="D929">
        <v>1036</v>
      </c>
      <c r="E929" t="s">
        <v>66</v>
      </c>
      <c r="F929" t="b">
        <v>0</v>
      </c>
      <c r="G929" t="b">
        <v>0</v>
      </c>
      <c r="H929">
        <v>0.4</v>
      </c>
      <c r="I929">
        <v>4.7670000000000003</v>
      </c>
      <c r="J929" t="s">
        <v>159</v>
      </c>
      <c r="K929" t="s">
        <v>159</v>
      </c>
      <c r="L929" t="s">
        <v>159</v>
      </c>
      <c r="M929" t="s">
        <v>159</v>
      </c>
      <c r="N929" t="s">
        <v>159</v>
      </c>
      <c r="O929" t="s">
        <v>159</v>
      </c>
      <c r="P929" t="s">
        <v>159</v>
      </c>
      <c r="Q929" t="s">
        <v>159</v>
      </c>
    </row>
    <row r="930" spans="1:17">
      <c r="A930">
        <v>1581</v>
      </c>
      <c r="B930">
        <v>1559.6</v>
      </c>
      <c r="C930">
        <v>1056</v>
      </c>
      <c r="D930">
        <v>1037</v>
      </c>
      <c r="E930" t="s">
        <v>66</v>
      </c>
      <c r="F930" t="b">
        <v>0</v>
      </c>
      <c r="G930" t="b">
        <v>0</v>
      </c>
      <c r="H930">
        <v>1.9</v>
      </c>
      <c r="I930" t="s">
        <v>159</v>
      </c>
      <c r="J930" t="s">
        <v>159</v>
      </c>
      <c r="K930" t="s">
        <v>159</v>
      </c>
      <c r="L930" t="s">
        <v>159</v>
      </c>
      <c r="M930" t="s">
        <v>159</v>
      </c>
      <c r="N930" t="s">
        <v>159</v>
      </c>
      <c r="O930" t="s">
        <v>159</v>
      </c>
      <c r="P930" t="s">
        <v>159</v>
      </c>
      <c r="Q930" t="s">
        <v>159</v>
      </c>
    </row>
    <row r="931" spans="1:17">
      <c r="A931">
        <v>1599.6</v>
      </c>
      <c r="B931">
        <v>1578.2</v>
      </c>
      <c r="C931">
        <v>1069</v>
      </c>
      <c r="D931">
        <v>1049</v>
      </c>
      <c r="E931" t="s">
        <v>66</v>
      </c>
      <c r="F931" t="b">
        <v>0</v>
      </c>
      <c r="G931" t="b">
        <v>1</v>
      </c>
      <c r="H931">
        <v>18.600000000000001</v>
      </c>
      <c r="I931">
        <v>4.9749999999999996</v>
      </c>
      <c r="J931">
        <v>0.747</v>
      </c>
      <c r="K931">
        <v>2.72</v>
      </c>
      <c r="L931">
        <v>6.09</v>
      </c>
      <c r="M931">
        <v>12.2</v>
      </c>
      <c r="N931">
        <v>21.3</v>
      </c>
      <c r="O931">
        <v>20.260000000000002</v>
      </c>
      <c r="P931">
        <v>79.14</v>
      </c>
      <c r="Q931">
        <v>0.6</v>
      </c>
    </row>
    <row r="932" spans="1:17">
      <c r="A932">
        <v>1602.2</v>
      </c>
      <c r="B932">
        <v>1580.8</v>
      </c>
      <c r="C932">
        <v>1071</v>
      </c>
      <c r="D932">
        <v>1050</v>
      </c>
      <c r="E932" t="s">
        <v>66</v>
      </c>
      <c r="F932" t="b">
        <v>0</v>
      </c>
      <c r="G932" t="b">
        <v>0</v>
      </c>
      <c r="H932">
        <v>2.6</v>
      </c>
      <c r="I932">
        <v>4.9749999999999996</v>
      </c>
      <c r="J932">
        <v>0.747</v>
      </c>
      <c r="K932">
        <v>2.72</v>
      </c>
      <c r="L932">
        <v>6.09</v>
      </c>
      <c r="M932">
        <v>12.2</v>
      </c>
      <c r="N932">
        <v>21.3</v>
      </c>
      <c r="O932">
        <v>20.260000000000002</v>
      </c>
      <c r="P932">
        <v>79.14</v>
      </c>
      <c r="Q932">
        <v>0.6</v>
      </c>
    </row>
    <row r="933" spans="1:17">
      <c r="A933">
        <v>1603.7</v>
      </c>
      <c r="B933">
        <v>1582.3</v>
      </c>
      <c r="C933">
        <v>1072</v>
      </c>
      <c r="D933">
        <v>1051</v>
      </c>
      <c r="E933" t="s">
        <v>66</v>
      </c>
      <c r="F933" t="b">
        <v>0</v>
      </c>
      <c r="G933" t="b">
        <v>0</v>
      </c>
      <c r="H933">
        <v>1.4</v>
      </c>
      <c r="I933">
        <v>4.9749999999999996</v>
      </c>
      <c r="J933">
        <v>0.747</v>
      </c>
      <c r="K933">
        <v>2.72</v>
      </c>
      <c r="L933">
        <v>6.09</v>
      </c>
      <c r="M933">
        <v>12.2</v>
      </c>
      <c r="N933">
        <v>21.3</v>
      </c>
      <c r="O933">
        <v>20.260000000000002</v>
      </c>
      <c r="P933">
        <v>79.14</v>
      </c>
      <c r="Q933">
        <v>0.6</v>
      </c>
    </row>
    <row r="934" spans="1:17">
      <c r="A934">
        <v>1604.9</v>
      </c>
      <c r="B934">
        <v>1583.6</v>
      </c>
      <c r="C934">
        <v>1073</v>
      </c>
      <c r="D934">
        <v>1052</v>
      </c>
      <c r="E934" t="s">
        <v>66</v>
      </c>
      <c r="F934" t="b">
        <v>0</v>
      </c>
      <c r="G934" t="b">
        <v>0</v>
      </c>
      <c r="H934">
        <v>1.3</v>
      </c>
      <c r="I934">
        <v>4.9749999999999996</v>
      </c>
      <c r="J934">
        <v>0.747</v>
      </c>
      <c r="K934">
        <v>2.72</v>
      </c>
      <c r="L934">
        <v>6.09</v>
      </c>
      <c r="M934">
        <v>12.2</v>
      </c>
      <c r="N934">
        <v>21.3</v>
      </c>
      <c r="O934">
        <v>20.260000000000002</v>
      </c>
      <c r="P934">
        <v>79.14</v>
      </c>
      <c r="Q934">
        <v>0.6</v>
      </c>
    </row>
    <row r="935" spans="1:17">
      <c r="A935">
        <v>1606.7</v>
      </c>
      <c r="B935">
        <v>1585.3</v>
      </c>
      <c r="C935">
        <v>1074</v>
      </c>
      <c r="D935">
        <v>1053</v>
      </c>
      <c r="E935" t="s">
        <v>66</v>
      </c>
      <c r="F935" t="b">
        <v>0</v>
      </c>
      <c r="G935" t="b">
        <v>0</v>
      </c>
      <c r="H935">
        <v>1.7</v>
      </c>
      <c r="I935" t="s">
        <v>159</v>
      </c>
      <c r="J935">
        <v>0.747</v>
      </c>
      <c r="K935">
        <v>2.72</v>
      </c>
      <c r="L935">
        <v>6.09</v>
      </c>
      <c r="M935">
        <v>12.2</v>
      </c>
      <c r="N935">
        <v>21.3</v>
      </c>
      <c r="O935">
        <v>20.260000000000002</v>
      </c>
      <c r="P935">
        <v>79.14</v>
      </c>
      <c r="Q935">
        <v>0.6</v>
      </c>
    </row>
    <row r="936" spans="1:17">
      <c r="A936">
        <v>1608</v>
      </c>
      <c r="B936">
        <v>1586.6</v>
      </c>
      <c r="C936">
        <v>1075</v>
      </c>
      <c r="D936">
        <v>1054</v>
      </c>
      <c r="E936" t="s">
        <v>66</v>
      </c>
      <c r="F936" t="b">
        <v>0</v>
      </c>
      <c r="G936" t="b">
        <v>0</v>
      </c>
      <c r="H936">
        <v>1.3</v>
      </c>
      <c r="I936" t="s">
        <v>159</v>
      </c>
      <c r="J936">
        <v>0.747</v>
      </c>
      <c r="K936">
        <v>2.72</v>
      </c>
      <c r="L936">
        <v>6.09</v>
      </c>
      <c r="M936">
        <v>12.2</v>
      </c>
      <c r="N936">
        <v>21.3</v>
      </c>
      <c r="O936">
        <v>20.260000000000002</v>
      </c>
      <c r="P936">
        <v>79.14</v>
      </c>
      <c r="Q936">
        <v>0.6</v>
      </c>
    </row>
    <row r="937" spans="1:17">
      <c r="A937">
        <v>1609.1</v>
      </c>
      <c r="B937">
        <v>1587.7</v>
      </c>
      <c r="C937">
        <v>1076</v>
      </c>
      <c r="D937">
        <v>1055</v>
      </c>
      <c r="E937" t="s">
        <v>66</v>
      </c>
      <c r="F937" t="b">
        <v>0</v>
      </c>
      <c r="G937" t="b">
        <v>0</v>
      </c>
      <c r="H937">
        <v>1.1000000000000001</v>
      </c>
      <c r="I937" t="s">
        <v>159</v>
      </c>
      <c r="J937">
        <v>0.747</v>
      </c>
      <c r="K937">
        <v>2.72</v>
      </c>
      <c r="L937">
        <v>6.09</v>
      </c>
      <c r="M937">
        <v>12.2</v>
      </c>
      <c r="N937">
        <v>21.3</v>
      </c>
      <c r="O937">
        <v>20.260000000000002</v>
      </c>
      <c r="P937">
        <v>79.14</v>
      </c>
      <c r="Q937">
        <v>0.6</v>
      </c>
    </row>
    <row r="938" spans="1:17">
      <c r="A938">
        <v>1610.5</v>
      </c>
      <c r="B938">
        <v>1589.2</v>
      </c>
      <c r="C938">
        <v>1077</v>
      </c>
      <c r="D938">
        <v>1056</v>
      </c>
      <c r="E938" t="s">
        <v>66</v>
      </c>
      <c r="F938" t="b">
        <v>0</v>
      </c>
      <c r="G938" t="b">
        <v>0</v>
      </c>
      <c r="H938">
        <v>1.5</v>
      </c>
      <c r="I938">
        <v>5.7009999999999996</v>
      </c>
      <c r="J938">
        <v>0.747</v>
      </c>
      <c r="K938">
        <v>2.72</v>
      </c>
      <c r="L938">
        <v>6.09</v>
      </c>
      <c r="M938">
        <v>12.2</v>
      </c>
      <c r="N938">
        <v>21.3</v>
      </c>
      <c r="O938">
        <v>20.260000000000002</v>
      </c>
      <c r="P938">
        <v>79.14</v>
      </c>
      <c r="Q938">
        <v>0.6</v>
      </c>
    </row>
    <row r="939" spans="1:17">
      <c r="A939">
        <v>1612.2</v>
      </c>
      <c r="B939">
        <v>1590.8</v>
      </c>
      <c r="C939">
        <v>1078</v>
      </c>
      <c r="D939">
        <v>1057</v>
      </c>
      <c r="E939" t="s">
        <v>66</v>
      </c>
      <c r="F939" t="b">
        <v>0</v>
      </c>
      <c r="G939" t="b">
        <v>0</v>
      </c>
      <c r="H939">
        <v>1.7</v>
      </c>
      <c r="I939">
        <v>5.7009999999999996</v>
      </c>
      <c r="J939">
        <v>0.747</v>
      </c>
      <c r="K939">
        <v>2.72</v>
      </c>
      <c r="L939">
        <v>6.09</v>
      </c>
      <c r="M939">
        <v>12.2</v>
      </c>
      <c r="N939">
        <v>21.3</v>
      </c>
      <c r="O939">
        <v>20.260000000000002</v>
      </c>
      <c r="P939">
        <v>79.14</v>
      </c>
      <c r="Q939">
        <v>0.6</v>
      </c>
    </row>
    <row r="940" spans="1:17">
      <c r="A940">
        <v>1649.9</v>
      </c>
      <c r="B940">
        <v>1628.5</v>
      </c>
      <c r="C940">
        <v>1105</v>
      </c>
      <c r="D940">
        <v>1081</v>
      </c>
      <c r="E940" t="s">
        <v>66</v>
      </c>
      <c r="F940" t="b">
        <v>0</v>
      </c>
      <c r="G940" t="b">
        <v>1</v>
      </c>
      <c r="H940">
        <v>37.700000000000003</v>
      </c>
      <c r="I940">
        <v>5.0990000000000002</v>
      </c>
      <c r="J940">
        <v>0.77600000000000002</v>
      </c>
      <c r="K940">
        <v>2.75</v>
      </c>
      <c r="L940">
        <v>6.17</v>
      </c>
      <c r="M940">
        <v>12.6</v>
      </c>
      <c r="N940">
        <v>22.3</v>
      </c>
      <c r="O940">
        <v>19.82</v>
      </c>
      <c r="P940">
        <v>79.569999999999993</v>
      </c>
      <c r="Q940">
        <v>0.6</v>
      </c>
    </row>
    <row r="941" spans="1:17">
      <c r="A941">
        <v>1651.9</v>
      </c>
      <c r="B941">
        <v>1630.5</v>
      </c>
      <c r="C941">
        <v>1107</v>
      </c>
      <c r="D941">
        <v>1082</v>
      </c>
      <c r="E941" t="s">
        <v>66</v>
      </c>
      <c r="F941" t="b">
        <v>0</v>
      </c>
      <c r="G941" t="b">
        <v>0</v>
      </c>
      <c r="H941">
        <v>2</v>
      </c>
      <c r="I941">
        <v>5.0990000000000002</v>
      </c>
      <c r="J941">
        <v>0.77600000000000002</v>
      </c>
      <c r="K941">
        <v>2.75</v>
      </c>
      <c r="L941">
        <v>6.17</v>
      </c>
      <c r="M941">
        <v>12.6</v>
      </c>
      <c r="N941">
        <v>22.3</v>
      </c>
      <c r="O941">
        <v>19.82</v>
      </c>
      <c r="P941">
        <v>79.569999999999993</v>
      </c>
      <c r="Q941">
        <v>0.6</v>
      </c>
    </row>
    <row r="942" spans="1:17">
      <c r="A942">
        <v>1653.5</v>
      </c>
      <c r="B942">
        <v>1632.1</v>
      </c>
      <c r="C942">
        <v>1108</v>
      </c>
      <c r="D942">
        <v>1083</v>
      </c>
      <c r="E942" t="s">
        <v>66</v>
      </c>
      <c r="F942" t="b">
        <v>0</v>
      </c>
      <c r="G942" t="b">
        <v>0</v>
      </c>
      <c r="H942">
        <v>1.6</v>
      </c>
      <c r="I942">
        <v>5.0990000000000002</v>
      </c>
      <c r="J942">
        <v>0.77600000000000002</v>
      </c>
      <c r="K942">
        <v>2.75</v>
      </c>
      <c r="L942">
        <v>6.17</v>
      </c>
      <c r="M942">
        <v>12.6</v>
      </c>
      <c r="N942">
        <v>22.3</v>
      </c>
      <c r="O942">
        <v>19.82</v>
      </c>
      <c r="P942">
        <v>79.569999999999993</v>
      </c>
      <c r="Q942">
        <v>0.6</v>
      </c>
    </row>
    <row r="943" spans="1:17">
      <c r="A943">
        <v>1655.7</v>
      </c>
      <c r="B943">
        <v>1634.3</v>
      </c>
      <c r="C943">
        <v>1109</v>
      </c>
      <c r="D943">
        <v>1084</v>
      </c>
      <c r="E943" t="s">
        <v>66</v>
      </c>
      <c r="F943" t="b">
        <v>0</v>
      </c>
      <c r="G943" t="b">
        <v>0</v>
      </c>
      <c r="H943">
        <v>2.2000000000000002</v>
      </c>
      <c r="I943" t="s">
        <v>159</v>
      </c>
      <c r="J943">
        <v>0.77600000000000002</v>
      </c>
      <c r="K943">
        <v>2.75</v>
      </c>
      <c r="L943">
        <v>6.17</v>
      </c>
      <c r="M943">
        <v>12.6</v>
      </c>
      <c r="N943">
        <v>22.3</v>
      </c>
      <c r="O943">
        <v>19.82</v>
      </c>
      <c r="P943">
        <v>79.569999999999993</v>
      </c>
      <c r="Q943">
        <v>0.6</v>
      </c>
    </row>
    <row r="944" spans="1:17">
      <c r="A944">
        <v>1657.7</v>
      </c>
      <c r="B944">
        <v>1636.3</v>
      </c>
      <c r="C944">
        <v>1111</v>
      </c>
      <c r="D944">
        <v>1085</v>
      </c>
      <c r="E944" t="s">
        <v>66</v>
      </c>
      <c r="F944" t="b">
        <v>0</v>
      </c>
      <c r="G944" t="b">
        <v>0</v>
      </c>
      <c r="H944">
        <v>2</v>
      </c>
      <c r="I944" t="s">
        <v>159</v>
      </c>
      <c r="J944">
        <v>0.77600000000000002</v>
      </c>
      <c r="K944">
        <v>2.75</v>
      </c>
      <c r="L944">
        <v>6.17</v>
      </c>
      <c r="M944">
        <v>12.6</v>
      </c>
      <c r="N944">
        <v>22.3</v>
      </c>
      <c r="O944">
        <v>19.82</v>
      </c>
      <c r="P944">
        <v>79.569999999999993</v>
      </c>
      <c r="Q944">
        <v>0.6</v>
      </c>
    </row>
    <row r="945" spans="1:17">
      <c r="A945">
        <v>1659.2</v>
      </c>
      <c r="B945">
        <v>1637.9</v>
      </c>
      <c r="C945">
        <v>1112</v>
      </c>
      <c r="D945">
        <v>1086</v>
      </c>
      <c r="E945" t="s">
        <v>66</v>
      </c>
      <c r="F945" t="b">
        <v>0</v>
      </c>
      <c r="G945" t="b">
        <v>0</v>
      </c>
      <c r="H945">
        <v>1.6</v>
      </c>
      <c r="I945" t="s">
        <v>159</v>
      </c>
      <c r="J945">
        <v>0.77600000000000002</v>
      </c>
      <c r="K945">
        <v>2.75</v>
      </c>
      <c r="L945">
        <v>6.17</v>
      </c>
      <c r="M945">
        <v>12.6</v>
      </c>
      <c r="N945">
        <v>22.3</v>
      </c>
      <c r="O945">
        <v>19.82</v>
      </c>
      <c r="P945">
        <v>79.569999999999993</v>
      </c>
      <c r="Q945">
        <v>0.6</v>
      </c>
    </row>
    <row r="946" spans="1:17">
      <c r="A946">
        <v>1661.4</v>
      </c>
      <c r="B946">
        <v>1640</v>
      </c>
      <c r="C946">
        <v>1114</v>
      </c>
      <c r="D946">
        <v>1087</v>
      </c>
      <c r="E946" t="s">
        <v>66</v>
      </c>
      <c r="F946" t="b">
        <v>0</v>
      </c>
      <c r="G946" t="b">
        <v>0</v>
      </c>
      <c r="H946">
        <v>2.1</v>
      </c>
      <c r="I946">
        <v>4.7569999999999997</v>
      </c>
      <c r="J946">
        <v>0.77600000000000002</v>
      </c>
      <c r="K946">
        <v>2.75</v>
      </c>
      <c r="L946">
        <v>6.17</v>
      </c>
      <c r="M946">
        <v>12.6</v>
      </c>
      <c r="N946">
        <v>22.3</v>
      </c>
      <c r="O946">
        <v>19.82</v>
      </c>
      <c r="P946">
        <v>79.569999999999993</v>
      </c>
      <c r="Q946">
        <v>0.6</v>
      </c>
    </row>
    <row r="947" spans="1:17">
      <c r="A947">
        <v>1663.1</v>
      </c>
      <c r="B947">
        <v>1641.8</v>
      </c>
      <c r="C947">
        <v>1115</v>
      </c>
      <c r="D947">
        <v>1088</v>
      </c>
      <c r="E947" t="s">
        <v>66</v>
      </c>
      <c r="F947" t="b">
        <v>0</v>
      </c>
      <c r="G947" t="b">
        <v>0</v>
      </c>
      <c r="H947">
        <v>1.8</v>
      </c>
      <c r="I947">
        <v>4.7569999999999997</v>
      </c>
      <c r="J947">
        <v>0.77600000000000002</v>
      </c>
      <c r="K947">
        <v>2.75</v>
      </c>
      <c r="L947">
        <v>6.17</v>
      </c>
      <c r="M947">
        <v>12.6</v>
      </c>
      <c r="N947">
        <v>22.3</v>
      </c>
      <c r="O947">
        <v>19.82</v>
      </c>
      <c r="P947">
        <v>79.569999999999993</v>
      </c>
      <c r="Q947">
        <v>0.6</v>
      </c>
    </row>
    <row r="948" spans="1:17">
      <c r="A948">
        <v>1664.8</v>
      </c>
      <c r="B948">
        <v>1643.4</v>
      </c>
      <c r="C948">
        <v>1116</v>
      </c>
      <c r="D948">
        <v>1089</v>
      </c>
      <c r="E948" t="s">
        <v>66</v>
      </c>
      <c r="F948" t="b">
        <v>0</v>
      </c>
      <c r="G948" t="b">
        <v>0</v>
      </c>
      <c r="H948">
        <v>1.7</v>
      </c>
      <c r="I948">
        <v>4.7569999999999997</v>
      </c>
      <c r="J948">
        <v>0.77600000000000002</v>
      </c>
      <c r="K948">
        <v>2.75</v>
      </c>
      <c r="L948">
        <v>6.17</v>
      </c>
      <c r="M948">
        <v>12.6</v>
      </c>
      <c r="N948">
        <v>22.3</v>
      </c>
      <c r="O948">
        <v>19.82</v>
      </c>
      <c r="P948">
        <v>79.569999999999993</v>
      </c>
      <c r="Q948">
        <v>0.6</v>
      </c>
    </row>
    <row r="949" spans="1:17">
      <c r="A949">
        <v>1666.7</v>
      </c>
      <c r="B949">
        <v>1645.4</v>
      </c>
      <c r="C949">
        <v>1117</v>
      </c>
      <c r="D949">
        <v>1090</v>
      </c>
      <c r="E949" t="s">
        <v>66</v>
      </c>
      <c r="F949" t="b">
        <v>0</v>
      </c>
      <c r="G949" t="b">
        <v>0</v>
      </c>
      <c r="H949">
        <v>1.9</v>
      </c>
      <c r="I949">
        <v>4.7569999999999997</v>
      </c>
      <c r="J949" t="s">
        <v>159</v>
      </c>
      <c r="K949" t="s">
        <v>159</v>
      </c>
      <c r="L949" t="s">
        <v>159</v>
      </c>
      <c r="M949" t="s">
        <v>159</v>
      </c>
      <c r="N949" t="s">
        <v>159</v>
      </c>
      <c r="O949" t="s">
        <v>159</v>
      </c>
      <c r="P949" t="s">
        <v>159</v>
      </c>
      <c r="Q949" t="s">
        <v>159</v>
      </c>
    </row>
    <row r="950" spans="1:17">
      <c r="A950">
        <v>1667.9</v>
      </c>
      <c r="B950">
        <v>1646.6</v>
      </c>
      <c r="C950">
        <v>1118</v>
      </c>
      <c r="D950">
        <v>1091</v>
      </c>
      <c r="E950" t="s">
        <v>66</v>
      </c>
      <c r="F950" t="b">
        <v>0</v>
      </c>
      <c r="G950" t="b">
        <v>0</v>
      </c>
      <c r="H950">
        <v>1.2</v>
      </c>
      <c r="I950">
        <v>4.7569999999999997</v>
      </c>
      <c r="J950" t="s">
        <v>159</v>
      </c>
      <c r="K950" t="s">
        <v>159</v>
      </c>
      <c r="L950" t="s">
        <v>159</v>
      </c>
      <c r="M950" t="s">
        <v>159</v>
      </c>
      <c r="N950" t="s">
        <v>159</v>
      </c>
      <c r="O950" t="s">
        <v>159</v>
      </c>
      <c r="P950" t="s">
        <v>159</v>
      </c>
      <c r="Q950" t="s">
        <v>159</v>
      </c>
    </row>
    <row r="951" spans="1:17">
      <c r="A951">
        <v>1669.5</v>
      </c>
      <c r="B951">
        <v>1648.1</v>
      </c>
      <c r="C951">
        <v>1119</v>
      </c>
      <c r="D951">
        <v>1092</v>
      </c>
      <c r="E951" t="s">
        <v>66</v>
      </c>
      <c r="F951" t="b">
        <v>0</v>
      </c>
      <c r="G951" t="b">
        <v>0</v>
      </c>
      <c r="H951">
        <v>1.6</v>
      </c>
      <c r="I951">
        <v>4.7569999999999997</v>
      </c>
      <c r="J951" t="s">
        <v>159</v>
      </c>
      <c r="K951" t="s">
        <v>159</v>
      </c>
      <c r="L951" t="s">
        <v>159</v>
      </c>
      <c r="M951" t="s">
        <v>159</v>
      </c>
      <c r="N951" t="s">
        <v>159</v>
      </c>
      <c r="O951" t="s">
        <v>159</v>
      </c>
      <c r="P951" t="s">
        <v>159</v>
      </c>
      <c r="Q951" t="s">
        <v>159</v>
      </c>
    </row>
    <row r="952" spans="1:17">
      <c r="A952">
        <v>1671</v>
      </c>
      <c r="B952">
        <v>1649.6</v>
      </c>
      <c r="C952">
        <v>1120</v>
      </c>
      <c r="D952">
        <v>1093</v>
      </c>
      <c r="E952" t="s">
        <v>66</v>
      </c>
      <c r="F952" t="b">
        <v>0</v>
      </c>
      <c r="G952" t="b">
        <v>0</v>
      </c>
      <c r="H952">
        <v>1.5</v>
      </c>
      <c r="I952">
        <v>4.7569999999999997</v>
      </c>
      <c r="J952" t="s">
        <v>159</v>
      </c>
      <c r="K952" t="s">
        <v>159</v>
      </c>
      <c r="L952" t="s">
        <v>159</v>
      </c>
      <c r="M952" t="s">
        <v>159</v>
      </c>
      <c r="N952" t="s">
        <v>159</v>
      </c>
      <c r="O952" t="s">
        <v>159</v>
      </c>
      <c r="P952" t="s">
        <v>159</v>
      </c>
      <c r="Q952" t="s">
        <v>159</v>
      </c>
    </row>
    <row r="953" spans="1:17">
      <c r="A953">
        <v>1672.1</v>
      </c>
      <c r="B953">
        <v>1650.7</v>
      </c>
      <c r="C953">
        <v>1121</v>
      </c>
      <c r="D953">
        <v>1094</v>
      </c>
      <c r="E953" t="s">
        <v>66</v>
      </c>
      <c r="F953" t="b">
        <v>0</v>
      </c>
      <c r="G953" t="b">
        <v>0</v>
      </c>
      <c r="H953">
        <v>1.1000000000000001</v>
      </c>
      <c r="I953">
        <v>4.7569999999999997</v>
      </c>
      <c r="J953" t="s">
        <v>159</v>
      </c>
      <c r="K953" t="s">
        <v>159</v>
      </c>
      <c r="L953" t="s">
        <v>159</v>
      </c>
      <c r="M953" t="s">
        <v>159</v>
      </c>
      <c r="N953" t="s">
        <v>159</v>
      </c>
      <c r="O953" t="s">
        <v>159</v>
      </c>
      <c r="P953" t="s">
        <v>159</v>
      </c>
      <c r="Q953" t="s">
        <v>159</v>
      </c>
    </row>
    <row r="954" spans="1:17">
      <c r="A954">
        <v>1674</v>
      </c>
      <c r="B954">
        <v>1652.6</v>
      </c>
      <c r="C954">
        <v>1123</v>
      </c>
      <c r="D954">
        <v>1095</v>
      </c>
      <c r="E954" t="s">
        <v>66</v>
      </c>
      <c r="F954" t="b">
        <v>0</v>
      </c>
      <c r="G954" t="b">
        <v>0</v>
      </c>
      <c r="H954">
        <v>1.9</v>
      </c>
      <c r="I954">
        <v>4.7569999999999997</v>
      </c>
      <c r="J954" t="s">
        <v>159</v>
      </c>
      <c r="K954" t="s">
        <v>159</v>
      </c>
      <c r="L954" t="s">
        <v>159</v>
      </c>
      <c r="M954" t="s">
        <v>159</v>
      </c>
      <c r="N954" t="s">
        <v>159</v>
      </c>
      <c r="O954" t="s">
        <v>159</v>
      </c>
      <c r="P954" t="s">
        <v>159</v>
      </c>
      <c r="Q954" t="s">
        <v>159</v>
      </c>
    </row>
    <row r="955" spans="1:17">
      <c r="A955">
        <v>1692.2</v>
      </c>
      <c r="B955">
        <v>1670.9</v>
      </c>
      <c r="C955">
        <v>1136</v>
      </c>
      <c r="D955">
        <v>1106</v>
      </c>
      <c r="E955" t="s">
        <v>66</v>
      </c>
      <c r="F955" t="b">
        <v>0</v>
      </c>
      <c r="G955" t="b">
        <v>1</v>
      </c>
      <c r="H955">
        <v>18.2</v>
      </c>
      <c r="I955" t="s">
        <v>159</v>
      </c>
      <c r="J955" t="s">
        <v>159</v>
      </c>
      <c r="K955" t="s">
        <v>159</v>
      </c>
      <c r="L955" t="s">
        <v>159</v>
      </c>
      <c r="M955" t="s">
        <v>159</v>
      </c>
      <c r="N955" t="s">
        <v>159</v>
      </c>
      <c r="O955" t="s">
        <v>159</v>
      </c>
      <c r="P955" t="s">
        <v>159</v>
      </c>
      <c r="Q955" t="s">
        <v>159</v>
      </c>
    </row>
    <row r="956" spans="1:17">
      <c r="A956">
        <v>1694.4</v>
      </c>
      <c r="B956">
        <v>1673</v>
      </c>
      <c r="C956">
        <v>1137</v>
      </c>
      <c r="D956">
        <v>1107</v>
      </c>
      <c r="E956" t="s">
        <v>66</v>
      </c>
      <c r="F956" t="b">
        <v>0</v>
      </c>
      <c r="G956" t="b">
        <v>0</v>
      </c>
      <c r="H956">
        <v>2.2000000000000002</v>
      </c>
      <c r="I956" t="s">
        <v>159</v>
      </c>
      <c r="J956" t="s">
        <v>159</v>
      </c>
      <c r="K956" t="s">
        <v>159</v>
      </c>
      <c r="L956" t="s">
        <v>159</v>
      </c>
      <c r="M956" t="s">
        <v>159</v>
      </c>
      <c r="N956" t="s">
        <v>159</v>
      </c>
      <c r="O956" t="s">
        <v>159</v>
      </c>
      <c r="P956" t="s">
        <v>159</v>
      </c>
      <c r="Q956" t="s">
        <v>159</v>
      </c>
    </row>
    <row r="957" spans="1:17">
      <c r="A957">
        <v>1695.7</v>
      </c>
      <c r="B957">
        <v>1674.4</v>
      </c>
      <c r="C957">
        <v>1138</v>
      </c>
      <c r="D957">
        <v>1108</v>
      </c>
      <c r="E957" t="s">
        <v>66</v>
      </c>
      <c r="F957" t="b">
        <v>0</v>
      </c>
      <c r="G957" t="b">
        <v>0</v>
      </c>
      <c r="H957">
        <v>1.3</v>
      </c>
      <c r="I957" t="s">
        <v>159</v>
      </c>
      <c r="J957">
        <v>0.72599999999999998</v>
      </c>
      <c r="K957">
        <v>2.5299999999999998</v>
      </c>
      <c r="L957">
        <v>6.05</v>
      </c>
      <c r="M957">
        <v>13</v>
      </c>
      <c r="N957">
        <v>23.9</v>
      </c>
      <c r="O957">
        <v>21.49</v>
      </c>
      <c r="P957">
        <v>77.650000000000006</v>
      </c>
      <c r="Q957">
        <v>0.85</v>
      </c>
    </row>
    <row r="958" spans="1:17">
      <c r="A958">
        <v>1696.5</v>
      </c>
      <c r="B958">
        <v>1675.1</v>
      </c>
      <c r="C958">
        <v>1139</v>
      </c>
      <c r="D958">
        <v>1109</v>
      </c>
      <c r="E958" t="s">
        <v>66</v>
      </c>
      <c r="F958" t="b">
        <v>0</v>
      </c>
      <c r="G958" t="b">
        <v>0</v>
      </c>
      <c r="H958">
        <v>0.8</v>
      </c>
      <c r="I958" t="s">
        <v>159</v>
      </c>
      <c r="J958">
        <v>0.72599999999999998</v>
      </c>
      <c r="K958">
        <v>2.5299999999999998</v>
      </c>
      <c r="L958">
        <v>6.05</v>
      </c>
      <c r="M958">
        <v>13</v>
      </c>
      <c r="N958">
        <v>23.9</v>
      </c>
      <c r="O958">
        <v>21.49</v>
      </c>
      <c r="P958">
        <v>77.650000000000006</v>
      </c>
      <c r="Q958">
        <v>0.85</v>
      </c>
    </row>
    <row r="959" spans="1:17">
      <c r="A959">
        <v>1697.5</v>
      </c>
      <c r="B959">
        <v>1676.1</v>
      </c>
      <c r="C959">
        <v>1140</v>
      </c>
      <c r="D959">
        <v>1110</v>
      </c>
      <c r="E959" t="s">
        <v>66</v>
      </c>
      <c r="F959" t="b">
        <v>0</v>
      </c>
      <c r="G959" t="b">
        <v>0</v>
      </c>
      <c r="H959">
        <v>1</v>
      </c>
      <c r="I959" t="s">
        <v>159</v>
      </c>
      <c r="J959">
        <v>0.72599999999999998</v>
      </c>
      <c r="K959">
        <v>2.5299999999999998</v>
      </c>
      <c r="L959">
        <v>6.05</v>
      </c>
      <c r="M959">
        <v>13</v>
      </c>
      <c r="N959">
        <v>23.9</v>
      </c>
      <c r="O959">
        <v>21.49</v>
      </c>
      <c r="P959">
        <v>77.650000000000006</v>
      </c>
      <c r="Q959">
        <v>0.85</v>
      </c>
    </row>
    <row r="960" spans="1:17">
      <c r="A960">
        <v>1771.4</v>
      </c>
      <c r="B960">
        <v>1750</v>
      </c>
      <c r="C960">
        <v>1193</v>
      </c>
      <c r="D960">
        <v>1161</v>
      </c>
      <c r="E960" t="s">
        <v>66</v>
      </c>
      <c r="F960" t="b">
        <v>0</v>
      </c>
      <c r="G960" t="b">
        <v>1</v>
      </c>
      <c r="H960">
        <v>73.900000000000006</v>
      </c>
      <c r="I960">
        <v>5.0810000000000004</v>
      </c>
      <c r="J960" t="s">
        <v>159</v>
      </c>
      <c r="K960" t="s">
        <v>159</v>
      </c>
      <c r="L960" t="s">
        <v>159</v>
      </c>
      <c r="M960" t="s">
        <v>159</v>
      </c>
      <c r="N960" t="s">
        <v>159</v>
      </c>
      <c r="O960" t="s">
        <v>159</v>
      </c>
      <c r="P960" t="s">
        <v>159</v>
      </c>
      <c r="Q960" t="s">
        <v>159</v>
      </c>
    </row>
    <row r="961" spans="1:17">
      <c r="A961">
        <v>1772.5</v>
      </c>
      <c r="B961">
        <v>1751.1</v>
      </c>
      <c r="C961">
        <v>1194</v>
      </c>
      <c r="D961">
        <v>1162</v>
      </c>
      <c r="E961" t="s">
        <v>66</v>
      </c>
      <c r="F961" t="b">
        <v>0</v>
      </c>
      <c r="G961" t="b">
        <v>0</v>
      </c>
      <c r="H961">
        <v>1.1000000000000001</v>
      </c>
      <c r="I961">
        <v>5.0810000000000004</v>
      </c>
      <c r="J961" t="s">
        <v>159</v>
      </c>
      <c r="K961" t="s">
        <v>159</v>
      </c>
      <c r="L961" t="s">
        <v>159</v>
      </c>
      <c r="M961" t="s">
        <v>159</v>
      </c>
      <c r="N961" t="s">
        <v>159</v>
      </c>
      <c r="O961" t="s">
        <v>159</v>
      </c>
      <c r="P961" t="s">
        <v>159</v>
      </c>
      <c r="Q961" t="s">
        <v>159</v>
      </c>
    </row>
    <row r="962" spans="1:17">
      <c r="A962">
        <v>1774.2</v>
      </c>
      <c r="B962">
        <v>1752.8</v>
      </c>
      <c r="C962">
        <v>1195</v>
      </c>
      <c r="D962">
        <v>1163</v>
      </c>
      <c r="E962" t="s">
        <v>66</v>
      </c>
      <c r="F962" t="b">
        <v>0</v>
      </c>
      <c r="G962" t="b">
        <v>0</v>
      </c>
      <c r="H962">
        <v>1.7</v>
      </c>
      <c r="I962">
        <v>5.0810000000000004</v>
      </c>
      <c r="J962" t="s">
        <v>159</v>
      </c>
      <c r="K962" t="s">
        <v>159</v>
      </c>
      <c r="L962" t="s">
        <v>159</v>
      </c>
      <c r="M962" t="s">
        <v>159</v>
      </c>
      <c r="N962" t="s">
        <v>159</v>
      </c>
      <c r="O962" t="s">
        <v>159</v>
      </c>
      <c r="P962" t="s">
        <v>159</v>
      </c>
      <c r="Q962" t="s">
        <v>159</v>
      </c>
    </row>
    <row r="963" spans="1:17">
      <c r="A963">
        <v>1776.7</v>
      </c>
      <c r="B963">
        <v>1755.3</v>
      </c>
      <c r="C963">
        <v>1197</v>
      </c>
      <c r="D963">
        <v>1164</v>
      </c>
      <c r="E963" t="s">
        <v>66</v>
      </c>
      <c r="F963" t="b">
        <v>0</v>
      </c>
      <c r="G963" t="b">
        <v>0</v>
      </c>
      <c r="H963">
        <v>2.5</v>
      </c>
      <c r="I963">
        <v>5.0810000000000004</v>
      </c>
      <c r="J963" t="s">
        <v>159</v>
      </c>
      <c r="K963" t="s">
        <v>159</v>
      </c>
      <c r="L963" t="s">
        <v>159</v>
      </c>
      <c r="M963" t="s">
        <v>159</v>
      </c>
      <c r="N963" t="s">
        <v>159</v>
      </c>
      <c r="O963" t="s">
        <v>159</v>
      </c>
      <c r="P963" t="s">
        <v>159</v>
      </c>
      <c r="Q963" t="s">
        <v>159</v>
      </c>
    </row>
    <row r="964" spans="1:17">
      <c r="A964">
        <v>1794</v>
      </c>
      <c r="B964">
        <v>1772.6</v>
      </c>
      <c r="C964">
        <v>1209</v>
      </c>
      <c r="D964">
        <v>1176</v>
      </c>
      <c r="E964" t="s">
        <v>66</v>
      </c>
      <c r="F964" t="b">
        <v>0</v>
      </c>
      <c r="G964" t="b">
        <v>1</v>
      </c>
      <c r="H964">
        <v>17.3</v>
      </c>
      <c r="I964">
        <v>4.8179999999999996</v>
      </c>
      <c r="J964" t="s">
        <v>159</v>
      </c>
      <c r="K964" t="s">
        <v>159</v>
      </c>
      <c r="L964" t="s">
        <v>159</v>
      </c>
      <c r="M964" t="s">
        <v>159</v>
      </c>
      <c r="N964" t="s">
        <v>159</v>
      </c>
      <c r="O964" t="s">
        <v>159</v>
      </c>
      <c r="P964" t="s">
        <v>159</v>
      </c>
      <c r="Q964" t="s">
        <v>159</v>
      </c>
    </row>
    <row r="965" spans="1:17">
      <c r="A965">
        <v>1795</v>
      </c>
      <c r="B965">
        <v>1773.6</v>
      </c>
      <c r="C965">
        <v>1210</v>
      </c>
      <c r="D965">
        <v>1177</v>
      </c>
      <c r="E965" t="s">
        <v>66</v>
      </c>
      <c r="F965" t="b">
        <v>0</v>
      </c>
      <c r="G965" t="b">
        <v>0</v>
      </c>
      <c r="H965">
        <v>1</v>
      </c>
      <c r="I965">
        <v>4.8179999999999996</v>
      </c>
      <c r="J965">
        <v>0.65400000000000003</v>
      </c>
      <c r="K965">
        <v>1.88</v>
      </c>
      <c r="L965">
        <v>5.22</v>
      </c>
      <c r="M965">
        <v>11.5</v>
      </c>
      <c r="N965">
        <v>21.5</v>
      </c>
      <c r="O965">
        <v>25.84</v>
      </c>
      <c r="P965">
        <v>73.5</v>
      </c>
      <c r="Q965">
        <v>0.66</v>
      </c>
    </row>
    <row r="966" spans="1:17">
      <c r="A966">
        <v>1800.1</v>
      </c>
      <c r="B966">
        <v>1773.6</v>
      </c>
      <c r="C966">
        <v>1210</v>
      </c>
      <c r="D966">
        <v>1177</v>
      </c>
      <c r="E966" t="s">
        <v>66</v>
      </c>
      <c r="F966" t="b">
        <v>1</v>
      </c>
      <c r="G966" t="b">
        <v>0</v>
      </c>
      <c r="H966">
        <v>5.0999999999999996</v>
      </c>
      <c r="I966">
        <v>4.8179999999999996</v>
      </c>
      <c r="J966">
        <v>0.65400000000000003</v>
      </c>
      <c r="K966">
        <v>1.88</v>
      </c>
      <c r="L966">
        <v>5.22</v>
      </c>
      <c r="M966">
        <v>11.5</v>
      </c>
      <c r="N966">
        <v>21.5</v>
      </c>
      <c r="O966">
        <v>25.84</v>
      </c>
      <c r="P966">
        <v>73.5</v>
      </c>
      <c r="Q966">
        <v>0.66</v>
      </c>
    </row>
    <row r="967" spans="1:17">
      <c r="A967">
        <v>1801.9</v>
      </c>
      <c r="B967">
        <v>1775.4</v>
      </c>
      <c r="C967">
        <v>1211</v>
      </c>
      <c r="D967">
        <v>1178</v>
      </c>
      <c r="E967" t="s">
        <v>66</v>
      </c>
      <c r="F967" t="b">
        <v>0</v>
      </c>
      <c r="G967" t="b">
        <v>0</v>
      </c>
      <c r="H967">
        <v>1.7</v>
      </c>
      <c r="I967">
        <v>4.8179999999999996</v>
      </c>
      <c r="J967">
        <v>0.65400000000000003</v>
      </c>
      <c r="K967">
        <v>1.88</v>
      </c>
      <c r="L967">
        <v>5.22</v>
      </c>
      <c r="M967">
        <v>11.5</v>
      </c>
      <c r="N967">
        <v>21.5</v>
      </c>
      <c r="O967">
        <v>25.84</v>
      </c>
      <c r="P967">
        <v>73.5</v>
      </c>
      <c r="Q967">
        <v>0.66</v>
      </c>
    </row>
    <row r="968" spans="1:17">
      <c r="A968">
        <v>1802.8</v>
      </c>
      <c r="B968">
        <v>1776.3</v>
      </c>
      <c r="C968">
        <v>1212</v>
      </c>
      <c r="D968">
        <v>1179</v>
      </c>
      <c r="E968" t="s">
        <v>66</v>
      </c>
      <c r="F968" t="b">
        <v>0</v>
      </c>
      <c r="G968" t="b">
        <v>0</v>
      </c>
      <c r="H968">
        <v>0.9</v>
      </c>
      <c r="I968">
        <v>4.8179999999999996</v>
      </c>
      <c r="J968">
        <v>0.65400000000000003</v>
      </c>
      <c r="K968">
        <v>1.88</v>
      </c>
      <c r="L968">
        <v>5.22</v>
      </c>
      <c r="M968">
        <v>11.5</v>
      </c>
      <c r="N968">
        <v>21.5</v>
      </c>
      <c r="O968">
        <v>25.84</v>
      </c>
      <c r="P968">
        <v>73.5</v>
      </c>
      <c r="Q968">
        <v>0.66</v>
      </c>
    </row>
    <row r="969" spans="1:17">
      <c r="A969">
        <v>1804</v>
      </c>
      <c r="B969">
        <v>1777.5</v>
      </c>
      <c r="C969">
        <v>1213</v>
      </c>
      <c r="D969">
        <v>1180</v>
      </c>
      <c r="E969" t="s">
        <v>66</v>
      </c>
      <c r="F969" t="b">
        <v>0</v>
      </c>
      <c r="G969" t="b">
        <v>0</v>
      </c>
      <c r="H969">
        <v>1.2</v>
      </c>
      <c r="I969">
        <v>4.8179999999999996</v>
      </c>
      <c r="J969">
        <v>0.65400000000000003</v>
      </c>
      <c r="K969">
        <v>1.88</v>
      </c>
      <c r="L969">
        <v>5.22</v>
      </c>
      <c r="M969">
        <v>11.5</v>
      </c>
      <c r="N969">
        <v>21.5</v>
      </c>
      <c r="O969">
        <v>25.84</v>
      </c>
      <c r="P969">
        <v>73.5</v>
      </c>
      <c r="Q969">
        <v>0.66</v>
      </c>
    </row>
    <row r="970" spans="1:17">
      <c r="A970">
        <v>1805.8</v>
      </c>
      <c r="B970">
        <v>1779.3</v>
      </c>
      <c r="C970">
        <v>1214</v>
      </c>
      <c r="D970">
        <v>1181</v>
      </c>
      <c r="E970" t="s">
        <v>66</v>
      </c>
      <c r="F970" t="b">
        <v>0</v>
      </c>
      <c r="G970" t="b">
        <v>0</v>
      </c>
      <c r="H970">
        <v>1.8</v>
      </c>
      <c r="I970" t="s">
        <v>159</v>
      </c>
      <c r="J970">
        <v>0.65400000000000003</v>
      </c>
      <c r="K970">
        <v>1.88</v>
      </c>
      <c r="L970">
        <v>5.22</v>
      </c>
      <c r="M970">
        <v>11.5</v>
      </c>
      <c r="N970">
        <v>21.5</v>
      </c>
      <c r="O970">
        <v>25.84</v>
      </c>
      <c r="P970">
        <v>73.5</v>
      </c>
      <c r="Q970">
        <v>0.66</v>
      </c>
    </row>
    <row r="971" spans="1:17">
      <c r="A971">
        <v>1806.8</v>
      </c>
      <c r="B971">
        <v>1780.3</v>
      </c>
      <c r="C971">
        <v>1215</v>
      </c>
      <c r="D971">
        <v>1182</v>
      </c>
      <c r="E971" t="s">
        <v>66</v>
      </c>
      <c r="F971" t="b">
        <v>0</v>
      </c>
      <c r="G971" t="b">
        <v>0</v>
      </c>
      <c r="H971">
        <v>1.1000000000000001</v>
      </c>
      <c r="I971" t="s">
        <v>159</v>
      </c>
      <c r="J971">
        <v>0.65400000000000003</v>
      </c>
      <c r="K971">
        <v>1.88</v>
      </c>
      <c r="L971">
        <v>5.22</v>
      </c>
      <c r="M971">
        <v>11.5</v>
      </c>
      <c r="N971">
        <v>21.5</v>
      </c>
      <c r="O971">
        <v>25.84</v>
      </c>
      <c r="P971">
        <v>73.5</v>
      </c>
      <c r="Q971">
        <v>0.66</v>
      </c>
    </row>
    <row r="972" spans="1:17">
      <c r="A972">
        <v>1807.8</v>
      </c>
      <c r="B972">
        <v>1781.3</v>
      </c>
      <c r="C972">
        <v>1215</v>
      </c>
      <c r="D972">
        <v>1183</v>
      </c>
      <c r="E972" t="s">
        <v>66</v>
      </c>
      <c r="F972" t="b">
        <v>0</v>
      </c>
      <c r="G972" t="b">
        <v>0</v>
      </c>
      <c r="H972">
        <v>0.9</v>
      </c>
      <c r="I972" t="s">
        <v>159</v>
      </c>
      <c r="J972">
        <v>0.65400000000000003</v>
      </c>
      <c r="K972">
        <v>1.88</v>
      </c>
      <c r="L972">
        <v>5.22</v>
      </c>
      <c r="M972">
        <v>11.5</v>
      </c>
      <c r="N972">
        <v>21.5</v>
      </c>
      <c r="O972">
        <v>25.84</v>
      </c>
      <c r="P972">
        <v>73.5</v>
      </c>
      <c r="Q972">
        <v>0.66</v>
      </c>
    </row>
    <row r="973" spans="1:17">
      <c r="A973">
        <v>1808.9</v>
      </c>
      <c r="B973">
        <v>1782.4</v>
      </c>
      <c r="C973">
        <v>1216</v>
      </c>
      <c r="D973">
        <v>1184</v>
      </c>
      <c r="E973" t="s">
        <v>66</v>
      </c>
      <c r="F973" t="b">
        <v>0</v>
      </c>
      <c r="G973" t="b">
        <v>0</v>
      </c>
      <c r="H973">
        <v>1.2</v>
      </c>
      <c r="I973" t="s">
        <v>159</v>
      </c>
      <c r="J973">
        <v>0.65400000000000003</v>
      </c>
      <c r="K973">
        <v>1.88</v>
      </c>
      <c r="L973">
        <v>5.22</v>
      </c>
      <c r="M973">
        <v>11.5</v>
      </c>
      <c r="N973">
        <v>21.5</v>
      </c>
      <c r="O973">
        <v>25.84</v>
      </c>
      <c r="P973">
        <v>73.5</v>
      </c>
      <c r="Q973">
        <v>0.66</v>
      </c>
    </row>
    <row r="974" spans="1:17">
      <c r="A974">
        <v>1810.2</v>
      </c>
      <c r="B974">
        <v>1783.7</v>
      </c>
      <c r="C974">
        <v>1217</v>
      </c>
      <c r="D974">
        <v>1185</v>
      </c>
      <c r="E974" t="s">
        <v>66</v>
      </c>
      <c r="F974" t="b">
        <v>0</v>
      </c>
      <c r="G974" t="b">
        <v>0</v>
      </c>
      <c r="H974">
        <v>1.3</v>
      </c>
      <c r="I974">
        <v>4.6390000000000002</v>
      </c>
      <c r="J974">
        <v>0.65400000000000003</v>
      </c>
      <c r="K974">
        <v>1.88</v>
      </c>
      <c r="L974">
        <v>5.22</v>
      </c>
      <c r="M974">
        <v>11.5</v>
      </c>
      <c r="N974">
        <v>21.5</v>
      </c>
      <c r="O974">
        <v>25.84</v>
      </c>
      <c r="P974">
        <v>73.5</v>
      </c>
      <c r="Q974">
        <v>0.66</v>
      </c>
    </row>
    <row r="975" spans="1:17">
      <c r="A975">
        <v>1841.3</v>
      </c>
      <c r="B975">
        <v>1814.8</v>
      </c>
      <c r="C975">
        <v>1239</v>
      </c>
      <c r="D975">
        <v>1204</v>
      </c>
      <c r="E975" t="s">
        <v>66</v>
      </c>
      <c r="F975" t="b">
        <v>0</v>
      </c>
      <c r="G975" t="b">
        <v>1</v>
      </c>
      <c r="H975">
        <v>31.1</v>
      </c>
      <c r="I975" t="s">
        <v>159</v>
      </c>
      <c r="J975" t="s">
        <v>159</v>
      </c>
      <c r="K975" t="s">
        <v>159</v>
      </c>
      <c r="L975" t="s">
        <v>159</v>
      </c>
      <c r="M975" t="s">
        <v>159</v>
      </c>
      <c r="N975" t="s">
        <v>159</v>
      </c>
      <c r="O975" t="s">
        <v>159</v>
      </c>
      <c r="P975" t="s">
        <v>159</v>
      </c>
      <c r="Q975" t="s">
        <v>159</v>
      </c>
    </row>
    <row r="976" spans="1:17">
      <c r="A976">
        <v>1843.5</v>
      </c>
      <c r="B976">
        <v>1817</v>
      </c>
      <c r="C976">
        <v>1241</v>
      </c>
      <c r="D976">
        <v>1205</v>
      </c>
      <c r="E976" t="s">
        <v>66</v>
      </c>
      <c r="F976" t="b">
        <v>0</v>
      </c>
      <c r="G976" t="b">
        <v>0</v>
      </c>
      <c r="H976">
        <v>2.2000000000000002</v>
      </c>
      <c r="I976" t="s">
        <v>159</v>
      </c>
      <c r="J976" t="s">
        <v>159</v>
      </c>
      <c r="K976" t="s">
        <v>159</v>
      </c>
      <c r="L976" t="s">
        <v>159</v>
      </c>
      <c r="M976" t="s">
        <v>159</v>
      </c>
      <c r="N976" t="s">
        <v>159</v>
      </c>
      <c r="O976" t="s">
        <v>159</v>
      </c>
      <c r="P976" t="s">
        <v>159</v>
      </c>
      <c r="Q976" t="s">
        <v>159</v>
      </c>
    </row>
    <row r="977" spans="1:17">
      <c r="A977">
        <v>1845.8</v>
      </c>
      <c r="B977">
        <v>1819.3</v>
      </c>
      <c r="C977">
        <v>1243</v>
      </c>
      <c r="D977">
        <v>1206</v>
      </c>
      <c r="E977" t="s">
        <v>66</v>
      </c>
      <c r="F977" t="b">
        <v>0</v>
      </c>
      <c r="G977" t="b">
        <v>0</v>
      </c>
      <c r="H977">
        <v>2.2999999999999998</v>
      </c>
      <c r="I977" t="s">
        <v>159</v>
      </c>
      <c r="J977">
        <v>0.69299999999999995</v>
      </c>
      <c r="K977">
        <v>2.4700000000000002</v>
      </c>
      <c r="L977">
        <v>5.73</v>
      </c>
      <c r="M977">
        <v>11.5</v>
      </c>
      <c r="N977">
        <v>20.399999999999999</v>
      </c>
      <c r="O977">
        <v>22.04</v>
      </c>
      <c r="P977">
        <v>77.540000000000006</v>
      </c>
      <c r="Q977">
        <v>0.42</v>
      </c>
    </row>
    <row r="978" spans="1:17">
      <c r="A978">
        <v>1848</v>
      </c>
      <c r="B978">
        <v>1821.5</v>
      </c>
      <c r="C978">
        <v>1244</v>
      </c>
      <c r="D978">
        <v>1207</v>
      </c>
      <c r="E978" t="s">
        <v>66</v>
      </c>
      <c r="F978" t="b">
        <v>0</v>
      </c>
      <c r="G978" t="b">
        <v>0</v>
      </c>
      <c r="H978">
        <v>2.2000000000000002</v>
      </c>
      <c r="I978" t="s">
        <v>159</v>
      </c>
      <c r="J978">
        <v>0.69299999999999995</v>
      </c>
      <c r="K978">
        <v>2.4700000000000002</v>
      </c>
      <c r="L978">
        <v>5.73</v>
      </c>
      <c r="M978">
        <v>11.5</v>
      </c>
      <c r="N978">
        <v>20.399999999999999</v>
      </c>
      <c r="O978">
        <v>22.04</v>
      </c>
      <c r="P978">
        <v>77.540000000000006</v>
      </c>
      <c r="Q978">
        <v>0.42</v>
      </c>
    </row>
    <row r="979" spans="1:17">
      <c r="A979">
        <v>1849.5</v>
      </c>
      <c r="B979">
        <v>1823</v>
      </c>
      <c r="C979">
        <v>1245</v>
      </c>
      <c r="D979">
        <v>1208</v>
      </c>
      <c r="E979" t="s">
        <v>66</v>
      </c>
      <c r="F979" t="b">
        <v>0</v>
      </c>
      <c r="G979" t="b">
        <v>0</v>
      </c>
      <c r="H979">
        <v>1.5</v>
      </c>
      <c r="I979" t="s">
        <v>159</v>
      </c>
      <c r="J979">
        <v>0.69299999999999995</v>
      </c>
      <c r="K979">
        <v>2.4700000000000002</v>
      </c>
      <c r="L979">
        <v>5.73</v>
      </c>
      <c r="M979">
        <v>11.5</v>
      </c>
      <c r="N979">
        <v>20.399999999999999</v>
      </c>
      <c r="O979">
        <v>22.04</v>
      </c>
      <c r="P979">
        <v>77.540000000000006</v>
      </c>
      <c r="Q979">
        <v>0.42</v>
      </c>
    </row>
    <row r="980" spans="1:17">
      <c r="A980">
        <v>1851.9</v>
      </c>
      <c r="B980">
        <v>1825.4</v>
      </c>
      <c r="C980">
        <v>1247</v>
      </c>
      <c r="D980">
        <v>1209</v>
      </c>
      <c r="E980" t="s">
        <v>66</v>
      </c>
      <c r="F980" t="b">
        <v>0</v>
      </c>
      <c r="G980" t="b">
        <v>0</v>
      </c>
      <c r="H980">
        <v>2.4</v>
      </c>
      <c r="I980" t="s">
        <v>159</v>
      </c>
      <c r="J980">
        <v>0.69299999999999995</v>
      </c>
      <c r="K980">
        <v>2.4700000000000002</v>
      </c>
      <c r="L980">
        <v>5.73</v>
      </c>
      <c r="M980">
        <v>11.5</v>
      </c>
      <c r="N980">
        <v>20.399999999999999</v>
      </c>
      <c r="O980">
        <v>22.04</v>
      </c>
      <c r="P980">
        <v>77.540000000000006</v>
      </c>
      <c r="Q980">
        <v>0.42</v>
      </c>
    </row>
    <row r="981" spans="1:17">
      <c r="A981">
        <v>1853.5</v>
      </c>
      <c r="B981">
        <v>1827</v>
      </c>
      <c r="C981">
        <v>1248</v>
      </c>
      <c r="D981">
        <v>1210</v>
      </c>
      <c r="E981" t="s">
        <v>66</v>
      </c>
      <c r="F981" t="b">
        <v>0</v>
      </c>
      <c r="G981" t="b">
        <v>0</v>
      </c>
      <c r="H981">
        <v>1.6</v>
      </c>
      <c r="I981" t="s">
        <v>159</v>
      </c>
      <c r="J981">
        <v>0.69299999999999995</v>
      </c>
      <c r="K981">
        <v>2.4700000000000002</v>
      </c>
      <c r="L981">
        <v>5.73</v>
      </c>
      <c r="M981">
        <v>11.5</v>
      </c>
      <c r="N981">
        <v>20.399999999999999</v>
      </c>
      <c r="O981">
        <v>22.04</v>
      </c>
      <c r="P981">
        <v>77.540000000000006</v>
      </c>
      <c r="Q981">
        <v>0.42</v>
      </c>
    </row>
    <row r="982" spans="1:17">
      <c r="A982">
        <v>1856</v>
      </c>
      <c r="B982">
        <v>1829.5</v>
      </c>
      <c r="C982">
        <v>1250</v>
      </c>
      <c r="D982">
        <v>1211</v>
      </c>
      <c r="E982" t="s">
        <v>66</v>
      </c>
      <c r="F982" t="b">
        <v>0</v>
      </c>
      <c r="G982" t="b">
        <v>0</v>
      </c>
      <c r="H982">
        <v>2.5</v>
      </c>
      <c r="I982" t="s">
        <v>159</v>
      </c>
      <c r="J982">
        <v>0.69299999999999995</v>
      </c>
      <c r="K982">
        <v>2.4700000000000002</v>
      </c>
      <c r="L982">
        <v>5.73</v>
      </c>
      <c r="M982">
        <v>11.5</v>
      </c>
      <c r="N982">
        <v>20.399999999999999</v>
      </c>
      <c r="O982">
        <v>22.04</v>
      </c>
      <c r="P982">
        <v>77.540000000000006</v>
      </c>
      <c r="Q982">
        <v>0.42</v>
      </c>
    </row>
    <row r="983" spans="1:17">
      <c r="A983">
        <v>1857.8</v>
      </c>
      <c r="B983">
        <v>1831.3</v>
      </c>
      <c r="C983">
        <v>1251</v>
      </c>
      <c r="D983">
        <v>1212</v>
      </c>
      <c r="E983" t="s">
        <v>66</v>
      </c>
      <c r="F983" t="b">
        <v>0</v>
      </c>
      <c r="G983" t="b">
        <v>0</v>
      </c>
      <c r="H983">
        <v>1.9</v>
      </c>
      <c r="I983" t="s">
        <v>159</v>
      </c>
      <c r="J983">
        <v>0.69299999999999995</v>
      </c>
      <c r="K983">
        <v>2.4700000000000002</v>
      </c>
      <c r="L983">
        <v>5.73</v>
      </c>
      <c r="M983">
        <v>11.5</v>
      </c>
      <c r="N983">
        <v>20.399999999999999</v>
      </c>
      <c r="O983">
        <v>22.04</v>
      </c>
      <c r="P983">
        <v>77.540000000000006</v>
      </c>
      <c r="Q983">
        <v>0.42</v>
      </c>
    </row>
    <row r="984" spans="1:17">
      <c r="A984">
        <v>1860.1</v>
      </c>
      <c r="B984">
        <v>1833.6</v>
      </c>
      <c r="C984">
        <v>1253</v>
      </c>
      <c r="D984">
        <v>1213</v>
      </c>
      <c r="E984" t="s">
        <v>66</v>
      </c>
      <c r="F984" t="b">
        <v>0</v>
      </c>
      <c r="G984" t="b">
        <v>0</v>
      </c>
      <c r="H984">
        <v>2.2000000000000002</v>
      </c>
      <c r="I984">
        <v>5.4</v>
      </c>
      <c r="J984">
        <v>0.69299999999999995</v>
      </c>
      <c r="K984">
        <v>2.4700000000000002</v>
      </c>
      <c r="L984">
        <v>5.73</v>
      </c>
      <c r="M984">
        <v>11.5</v>
      </c>
      <c r="N984">
        <v>20.399999999999999</v>
      </c>
      <c r="O984">
        <v>22.04</v>
      </c>
      <c r="P984">
        <v>77.540000000000006</v>
      </c>
      <c r="Q984">
        <v>0.42</v>
      </c>
    </row>
    <row r="985" spans="1:17">
      <c r="A985">
        <v>1861.4</v>
      </c>
      <c r="B985">
        <v>1834.9</v>
      </c>
      <c r="C985">
        <v>1254</v>
      </c>
      <c r="D985">
        <v>1214</v>
      </c>
      <c r="E985" t="s">
        <v>66</v>
      </c>
      <c r="F985" t="b">
        <v>0</v>
      </c>
      <c r="G985" t="b">
        <v>0</v>
      </c>
      <c r="H985">
        <v>1.4</v>
      </c>
      <c r="I985">
        <v>5.4</v>
      </c>
      <c r="J985">
        <v>0.69299999999999995</v>
      </c>
      <c r="K985">
        <v>2.4700000000000002</v>
      </c>
      <c r="L985">
        <v>5.73</v>
      </c>
      <c r="M985">
        <v>11.5</v>
      </c>
      <c r="N985">
        <v>20.399999999999999</v>
      </c>
      <c r="O985">
        <v>22.04</v>
      </c>
      <c r="P985">
        <v>77.540000000000006</v>
      </c>
      <c r="Q985">
        <v>0.42</v>
      </c>
    </row>
    <row r="986" spans="1:17">
      <c r="A986">
        <v>1862.5</v>
      </c>
      <c r="B986">
        <v>1836</v>
      </c>
      <c r="C986">
        <v>1255</v>
      </c>
      <c r="D986">
        <v>1215</v>
      </c>
      <c r="E986" t="s">
        <v>66</v>
      </c>
      <c r="F986" t="b">
        <v>0</v>
      </c>
      <c r="G986" t="b">
        <v>0</v>
      </c>
      <c r="H986">
        <v>1.1000000000000001</v>
      </c>
      <c r="I986">
        <v>5.4</v>
      </c>
      <c r="J986">
        <v>0.69299999999999995</v>
      </c>
      <c r="K986">
        <v>2.4700000000000002</v>
      </c>
      <c r="L986">
        <v>5.73</v>
      </c>
      <c r="M986">
        <v>11.5</v>
      </c>
      <c r="N986">
        <v>20.399999999999999</v>
      </c>
      <c r="O986">
        <v>22.04</v>
      </c>
      <c r="P986">
        <v>77.540000000000006</v>
      </c>
      <c r="Q986">
        <v>0.42</v>
      </c>
    </row>
    <row r="987" spans="1:17">
      <c r="A987">
        <v>1863.7</v>
      </c>
      <c r="B987">
        <v>1837.2</v>
      </c>
      <c r="C987">
        <v>1256</v>
      </c>
      <c r="D987">
        <v>1216</v>
      </c>
      <c r="E987" t="s">
        <v>66</v>
      </c>
      <c r="F987" t="b">
        <v>0</v>
      </c>
      <c r="G987" t="b">
        <v>0</v>
      </c>
      <c r="H987">
        <v>1.2</v>
      </c>
      <c r="I987">
        <v>5.4</v>
      </c>
      <c r="J987">
        <v>0.69299999999999995</v>
      </c>
      <c r="K987">
        <v>2.4700000000000002</v>
      </c>
      <c r="L987">
        <v>5.73</v>
      </c>
      <c r="M987">
        <v>11.5</v>
      </c>
      <c r="N987">
        <v>20.399999999999999</v>
      </c>
      <c r="O987">
        <v>22.04</v>
      </c>
      <c r="P987">
        <v>77.540000000000006</v>
      </c>
      <c r="Q987">
        <v>0.42</v>
      </c>
    </row>
    <row r="988" spans="1:17">
      <c r="A988">
        <v>1865.4</v>
      </c>
      <c r="B988">
        <v>1838.9</v>
      </c>
      <c r="C988">
        <v>1257</v>
      </c>
      <c r="D988">
        <v>1217</v>
      </c>
      <c r="E988" t="s">
        <v>66</v>
      </c>
      <c r="F988" t="b">
        <v>0</v>
      </c>
      <c r="G988" t="b">
        <v>0</v>
      </c>
      <c r="H988">
        <v>1.7</v>
      </c>
      <c r="I988">
        <v>5.4</v>
      </c>
      <c r="J988">
        <v>0.69299999999999995</v>
      </c>
      <c r="K988">
        <v>2.4700000000000002</v>
      </c>
      <c r="L988">
        <v>5.73</v>
      </c>
      <c r="M988">
        <v>11.5</v>
      </c>
      <c r="N988">
        <v>20.399999999999999</v>
      </c>
      <c r="O988">
        <v>22.04</v>
      </c>
      <c r="P988">
        <v>77.540000000000006</v>
      </c>
      <c r="Q988">
        <v>0.42</v>
      </c>
    </row>
    <row r="989" spans="1:17">
      <c r="A989">
        <v>1867.3</v>
      </c>
      <c r="B989">
        <v>1840.8</v>
      </c>
      <c r="C989">
        <v>1258</v>
      </c>
      <c r="D989">
        <v>1218</v>
      </c>
      <c r="E989" t="s">
        <v>66</v>
      </c>
      <c r="F989" t="b">
        <v>0</v>
      </c>
      <c r="G989" t="b">
        <v>0</v>
      </c>
      <c r="H989">
        <v>1.9</v>
      </c>
      <c r="I989">
        <v>5.4</v>
      </c>
      <c r="J989" t="s">
        <v>159</v>
      </c>
      <c r="K989" t="s">
        <v>159</v>
      </c>
      <c r="L989" t="s">
        <v>159</v>
      </c>
      <c r="M989" t="s">
        <v>159</v>
      </c>
      <c r="N989" t="s">
        <v>159</v>
      </c>
      <c r="O989" t="s">
        <v>159</v>
      </c>
      <c r="P989" t="s">
        <v>159</v>
      </c>
      <c r="Q989" t="s">
        <v>159</v>
      </c>
    </row>
    <row r="990" spans="1:17">
      <c r="A990">
        <v>1868.9</v>
      </c>
      <c r="B990">
        <v>1842.4</v>
      </c>
      <c r="C990">
        <v>1259</v>
      </c>
      <c r="D990">
        <v>1219</v>
      </c>
      <c r="E990" t="s">
        <v>66</v>
      </c>
      <c r="F990" t="b">
        <v>0</v>
      </c>
      <c r="G990" t="b">
        <v>0</v>
      </c>
      <c r="H990">
        <v>1.6</v>
      </c>
      <c r="I990">
        <v>5.4</v>
      </c>
      <c r="J990" t="s">
        <v>159</v>
      </c>
      <c r="K990" t="s">
        <v>159</v>
      </c>
      <c r="L990" t="s">
        <v>159</v>
      </c>
      <c r="M990" t="s">
        <v>159</v>
      </c>
      <c r="N990" t="s">
        <v>159</v>
      </c>
      <c r="O990" t="s">
        <v>159</v>
      </c>
      <c r="P990" t="s">
        <v>159</v>
      </c>
      <c r="Q990" t="s">
        <v>159</v>
      </c>
    </row>
    <row r="991" spans="1:17">
      <c r="A991">
        <v>1871.2</v>
      </c>
      <c r="B991">
        <v>1844.7</v>
      </c>
      <c r="C991">
        <v>1261</v>
      </c>
      <c r="D991">
        <v>1220</v>
      </c>
      <c r="E991" t="s">
        <v>66</v>
      </c>
      <c r="F991" t="b">
        <v>0</v>
      </c>
      <c r="G991" t="b">
        <v>0</v>
      </c>
      <c r="H991">
        <v>2.2999999999999998</v>
      </c>
      <c r="I991">
        <v>5.4</v>
      </c>
      <c r="J991" t="s">
        <v>159</v>
      </c>
      <c r="K991" t="s">
        <v>159</v>
      </c>
      <c r="L991" t="s">
        <v>159</v>
      </c>
      <c r="M991" t="s">
        <v>159</v>
      </c>
      <c r="N991" t="s">
        <v>159</v>
      </c>
      <c r="O991" t="s">
        <v>159</v>
      </c>
      <c r="P991" t="s">
        <v>159</v>
      </c>
      <c r="Q991" t="s">
        <v>159</v>
      </c>
    </row>
    <row r="992" spans="1:17">
      <c r="A992">
        <v>1872.5</v>
      </c>
      <c r="B992">
        <v>1846</v>
      </c>
      <c r="C992">
        <v>1262</v>
      </c>
      <c r="D992">
        <v>1221</v>
      </c>
      <c r="E992" t="s">
        <v>66</v>
      </c>
      <c r="F992" t="b">
        <v>0</v>
      </c>
      <c r="G992" t="b">
        <v>0</v>
      </c>
      <c r="H992">
        <v>1.3</v>
      </c>
      <c r="I992">
        <v>5.4</v>
      </c>
      <c r="J992" t="s">
        <v>159</v>
      </c>
      <c r="K992" t="s">
        <v>159</v>
      </c>
      <c r="L992" t="s">
        <v>159</v>
      </c>
      <c r="M992" t="s">
        <v>159</v>
      </c>
      <c r="N992" t="s">
        <v>159</v>
      </c>
      <c r="O992" t="s">
        <v>159</v>
      </c>
      <c r="P992" t="s">
        <v>159</v>
      </c>
      <c r="Q992" t="s">
        <v>159</v>
      </c>
    </row>
    <row r="993" spans="1:17">
      <c r="A993">
        <v>1874</v>
      </c>
      <c r="B993">
        <v>1847.5</v>
      </c>
      <c r="C993">
        <v>1263</v>
      </c>
      <c r="D993">
        <v>1222</v>
      </c>
      <c r="E993" t="s">
        <v>66</v>
      </c>
      <c r="F993" t="b">
        <v>0</v>
      </c>
      <c r="G993" t="b">
        <v>0</v>
      </c>
      <c r="H993">
        <v>1.4</v>
      </c>
      <c r="I993">
        <v>5.4</v>
      </c>
      <c r="J993" t="s">
        <v>159</v>
      </c>
      <c r="K993" t="s">
        <v>159</v>
      </c>
      <c r="L993" t="s">
        <v>159</v>
      </c>
      <c r="M993" t="s">
        <v>159</v>
      </c>
      <c r="N993" t="s">
        <v>159</v>
      </c>
      <c r="O993" t="s">
        <v>159</v>
      </c>
      <c r="P993" t="s">
        <v>159</v>
      </c>
      <c r="Q993" t="s">
        <v>159</v>
      </c>
    </row>
    <row r="994" spans="1:17">
      <c r="A994">
        <v>1875.2</v>
      </c>
      <c r="B994">
        <v>1848.7</v>
      </c>
      <c r="C994">
        <v>1264</v>
      </c>
      <c r="D994">
        <v>1223</v>
      </c>
      <c r="E994" t="s">
        <v>66</v>
      </c>
      <c r="F994" t="b">
        <v>0</v>
      </c>
      <c r="G994" t="b">
        <v>0</v>
      </c>
      <c r="H994">
        <v>1.2</v>
      </c>
      <c r="I994">
        <v>5.4</v>
      </c>
      <c r="J994" t="s">
        <v>159</v>
      </c>
      <c r="K994" t="s">
        <v>159</v>
      </c>
      <c r="L994" t="s">
        <v>159</v>
      </c>
      <c r="M994" t="s">
        <v>159</v>
      </c>
      <c r="N994" t="s">
        <v>159</v>
      </c>
      <c r="O994" t="s">
        <v>159</v>
      </c>
      <c r="P994" t="s">
        <v>159</v>
      </c>
      <c r="Q994" t="s">
        <v>159</v>
      </c>
    </row>
    <row r="995" spans="1:17">
      <c r="A995">
        <v>1877.2</v>
      </c>
      <c r="B995">
        <v>1850.7</v>
      </c>
      <c r="C995">
        <v>1265</v>
      </c>
      <c r="D995">
        <v>1224</v>
      </c>
      <c r="E995" t="s">
        <v>66</v>
      </c>
      <c r="F995" t="b">
        <v>0</v>
      </c>
      <c r="G995" t="b">
        <v>0</v>
      </c>
      <c r="H995">
        <v>2</v>
      </c>
      <c r="I995">
        <v>5.4</v>
      </c>
      <c r="J995" t="s">
        <v>159</v>
      </c>
      <c r="K995" t="s">
        <v>159</v>
      </c>
      <c r="L995" t="s">
        <v>159</v>
      </c>
      <c r="M995" t="s">
        <v>159</v>
      </c>
      <c r="N995" t="s">
        <v>159</v>
      </c>
      <c r="O995" t="s">
        <v>159</v>
      </c>
      <c r="P995" t="s">
        <v>159</v>
      </c>
      <c r="Q995" t="s">
        <v>159</v>
      </c>
    </row>
    <row r="996" spans="1:17">
      <c r="A996">
        <v>1879.5</v>
      </c>
      <c r="B996">
        <v>1853</v>
      </c>
      <c r="C996">
        <v>1267</v>
      </c>
      <c r="D996">
        <v>1225</v>
      </c>
      <c r="E996" t="s">
        <v>66</v>
      </c>
      <c r="F996" t="b">
        <v>0</v>
      </c>
      <c r="G996" t="b">
        <v>0</v>
      </c>
      <c r="H996">
        <v>2.2999999999999998</v>
      </c>
      <c r="I996">
        <v>5.4</v>
      </c>
      <c r="J996" t="s">
        <v>159</v>
      </c>
      <c r="K996" t="s">
        <v>159</v>
      </c>
      <c r="L996" t="s">
        <v>159</v>
      </c>
      <c r="M996" t="s">
        <v>159</v>
      </c>
      <c r="N996" t="s">
        <v>159</v>
      </c>
      <c r="O996" t="s">
        <v>159</v>
      </c>
      <c r="P996" t="s">
        <v>159</v>
      </c>
      <c r="Q996" t="s">
        <v>159</v>
      </c>
    </row>
    <row r="997" spans="1:17">
      <c r="A997">
        <v>1882</v>
      </c>
      <c r="B997">
        <v>1855.5</v>
      </c>
      <c r="C997">
        <v>1269</v>
      </c>
      <c r="D997">
        <v>1226</v>
      </c>
      <c r="E997" t="s">
        <v>66</v>
      </c>
      <c r="F997" t="b">
        <v>0</v>
      </c>
      <c r="G997" t="b">
        <v>0</v>
      </c>
      <c r="H997">
        <v>2.5</v>
      </c>
      <c r="I997" t="s">
        <v>159</v>
      </c>
      <c r="J997" t="s">
        <v>159</v>
      </c>
      <c r="K997" t="s">
        <v>159</v>
      </c>
      <c r="L997" t="s">
        <v>159</v>
      </c>
      <c r="M997" t="s">
        <v>159</v>
      </c>
      <c r="N997" t="s">
        <v>159</v>
      </c>
      <c r="O997" t="s">
        <v>159</v>
      </c>
      <c r="P997" t="s">
        <v>159</v>
      </c>
      <c r="Q997" t="s">
        <v>159</v>
      </c>
    </row>
    <row r="998" spans="1:17">
      <c r="A998">
        <v>1884.4</v>
      </c>
      <c r="B998">
        <v>1857.9</v>
      </c>
      <c r="C998">
        <v>1270</v>
      </c>
      <c r="D998">
        <v>1227</v>
      </c>
      <c r="E998" t="s">
        <v>66</v>
      </c>
      <c r="F998" t="b">
        <v>0</v>
      </c>
      <c r="G998" t="b">
        <v>0</v>
      </c>
      <c r="H998">
        <v>2.2999999999999998</v>
      </c>
      <c r="I998" t="s">
        <v>159</v>
      </c>
      <c r="J998" t="s">
        <v>159</v>
      </c>
      <c r="K998" t="s">
        <v>159</v>
      </c>
      <c r="L998" t="s">
        <v>159</v>
      </c>
      <c r="M998" t="s">
        <v>159</v>
      </c>
      <c r="N998" t="s">
        <v>159</v>
      </c>
      <c r="O998" t="s">
        <v>159</v>
      </c>
      <c r="P998" t="s">
        <v>159</v>
      </c>
      <c r="Q998" t="s">
        <v>159</v>
      </c>
    </row>
    <row r="999" spans="1:17">
      <c r="A999">
        <v>1886.2</v>
      </c>
      <c r="B999">
        <v>1859.7</v>
      </c>
      <c r="C999">
        <v>1272</v>
      </c>
      <c r="D999">
        <v>1228</v>
      </c>
      <c r="E999" t="s">
        <v>66</v>
      </c>
      <c r="F999" t="b">
        <v>0</v>
      </c>
      <c r="G999" t="b">
        <v>0</v>
      </c>
      <c r="H999">
        <v>1.8</v>
      </c>
      <c r="I999" t="s">
        <v>159</v>
      </c>
      <c r="J999" t="s">
        <v>159</v>
      </c>
      <c r="K999" t="s">
        <v>159</v>
      </c>
      <c r="L999" t="s">
        <v>159</v>
      </c>
      <c r="M999" t="s">
        <v>159</v>
      </c>
      <c r="N999" t="s">
        <v>159</v>
      </c>
      <c r="O999" t="s">
        <v>159</v>
      </c>
      <c r="P999" t="s">
        <v>159</v>
      </c>
      <c r="Q999" t="s">
        <v>159</v>
      </c>
    </row>
    <row r="1000" spans="1:17">
      <c r="A1000">
        <v>1888.9</v>
      </c>
      <c r="B1000">
        <v>1862.4</v>
      </c>
      <c r="C1000">
        <v>1274</v>
      </c>
      <c r="D1000">
        <v>1229</v>
      </c>
      <c r="E1000" t="s">
        <v>66</v>
      </c>
      <c r="F1000" t="b">
        <v>0</v>
      </c>
      <c r="G1000" t="b">
        <v>0</v>
      </c>
      <c r="H1000">
        <v>2.7</v>
      </c>
      <c r="I1000" t="s">
        <v>159</v>
      </c>
      <c r="J1000" t="s">
        <v>159</v>
      </c>
      <c r="K1000" t="s">
        <v>159</v>
      </c>
      <c r="L1000" t="s">
        <v>159</v>
      </c>
      <c r="M1000" t="s">
        <v>159</v>
      </c>
      <c r="N1000" t="s">
        <v>159</v>
      </c>
      <c r="O1000" t="s">
        <v>159</v>
      </c>
      <c r="P1000" t="s">
        <v>159</v>
      </c>
      <c r="Q1000" t="s">
        <v>159</v>
      </c>
    </row>
    <row r="1001" spans="1:17">
      <c r="A1001">
        <v>1890.5</v>
      </c>
      <c r="B1001">
        <v>1864</v>
      </c>
      <c r="C1001">
        <v>1275</v>
      </c>
      <c r="D1001">
        <v>1230</v>
      </c>
      <c r="E1001" t="s">
        <v>66</v>
      </c>
      <c r="F1001" t="b">
        <v>0</v>
      </c>
      <c r="G1001" t="b">
        <v>0</v>
      </c>
      <c r="H1001">
        <v>1.6</v>
      </c>
      <c r="I1001" t="s">
        <v>159</v>
      </c>
      <c r="J1001" t="s">
        <v>159</v>
      </c>
      <c r="K1001" t="s">
        <v>159</v>
      </c>
      <c r="L1001" t="s">
        <v>159</v>
      </c>
      <c r="M1001" t="s">
        <v>159</v>
      </c>
      <c r="N1001" t="s">
        <v>159</v>
      </c>
      <c r="O1001" t="s">
        <v>159</v>
      </c>
      <c r="P1001" t="s">
        <v>159</v>
      </c>
      <c r="Q1001" t="s">
        <v>159</v>
      </c>
    </row>
    <row r="1002" spans="1:17">
      <c r="A1002">
        <v>1892.9</v>
      </c>
      <c r="B1002">
        <v>1866.4</v>
      </c>
      <c r="C1002">
        <v>1277</v>
      </c>
      <c r="D1002">
        <v>1231</v>
      </c>
      <c r="E1002" t="s">
        <v>66</v>
      </c>
      <c r="F1002" t="b">
        <v>0</v>
      </c>
      <c r="G1002" t="b">
        <v>0</v>
      </c>
      <c r="H1002">
        <v>2.4</v>
      </c>
      <c r="I1002" t="s">
        <v>159</v>
      </c>
      <c r="J1002" t="s">
        <v>159</v>
      </c>
      <c r="K1002" t="s">
        <v>159</v>
      </c>
      <c r="L1002" t="s">
        <v>159</v>
      </c>
      <c r="M1002" t="s">
        <v>159</v>
      </c>
      <c r="N1002" t="s">
        <v>159</v>
      </c>
      <c r="O1002" t="s">
        <v>159</v>
      </c>
      <c r="P1002" t="s">
        <v>159</v>
      </c>
      <c r="Q1002" t="s">
        <v>159</v>
      </c>
    </row>
    <row r="1003" spans="1:17">
      <c r="A1003">
        <v>1894.4</v>
      </c>
      <c r="B1003">
        <v>1867.9</v>
      </c>
      <c r="C1003">
        <v>1278</v>
      </c>
      <c r="D1003">
        <v>1232</v>
      </c>
      <c r="E1003" t="s">
        <v>66</v>
      </c>
      <c r="F1003" t="b">
        <v>0</v>
      </c>
      <c r="G1003" t="b">
        <v>0</v>
      </c>
      <c r="H1003">
        <v>1.5</v>
      </c>
      <c r="I1003" t="s">
        <v>159</v>
      </c>
      <c r="J1003" t="s">
        <v>159</v>
      </c>
      <c r="K1003" t="s">
        <v>159</v>
      </c>
      <c r="L1003" t="s">
        <v>159</v>
      </c>
      <c r="M1003" t="s">
        <v>159</v>
      </c>
      <c r="N1003" t="s">
        <v>159</v>
      </c>
      <c r="O1003" t="s">
        <v>159</v>
      </c>
      <c r="P1003" t="s">
        <v>159</v>
      </c>
      <c r="Q1003" t="s">
        <v>159</v>
      </c>
    </row>
    <row r="1004" spans="1:17">
      <c r="A1004">
        <v>1896.7</v>
      </c>
      <c r="B1004">
        <v>1870.2</v>
      </c>
      <c r="C1004">
        <v>1279</v>
      </c>
      <c r="D1004">
        <v>1233</v>
      </c>
      <c r="E1004" t="s">
        <v>66</v>
      </c>
      <c r="F1004" t="b">
        <v>0</v>
      </c>
      <c r="G1004" t="b">
        <v>0</v>
      </c>
      <c r="H1004">
        <v>2.2999999999999998</v>
      </c>
      <c r="I1004" t="s">
        <v>159</v>
      </c>
      <c r="J1004">
        <v>0.73499999999999999</v>
      </c>
      <c r="K1004">
        <v>2.4</v>
      </c>
      <c r="L1004">
        <v>5.6</v>
      </c>
      <c r="M1004">
        <v>11.5</v>
      </c>
      <c r="N1004">
        <v>19.8</v>
      </c>
      <c r="O1004">
        <v>22.2</v>
      </c>
      <c r="P1004">
        <v>77.8</v>
      </c>
      <c r="Q1004">
        <v>2.0000000000000001E-4</v>
      </c>
    </row>
    <row r="1005" spans="1:17">
      <c r="A1005">
        <v>1898.6</v>
      </c>
      <c r="B1005">
        <v>1872.1</v>
      </c>
      <c r="C1005">
        <v>1281</v>
      </c>
      <c r="D1005">
        <v>1234</v>
      </c>
      <c r="E1005" t="s">
        <v>66</v>
      </c>
      <c r="F1005" t="b">
        <v>0</v>
      </c>
      <c r="G1005" t="b">
        <v>0</v>
      </c>
      <c r="H1005">
        <v>1.9</v>
      </c>
      <c r="I1005" t="s">
        <v>159</v>
      </c>
      <c r="J1005">
        <v>0.73499999999999999</v>
      </c>
      <c r="K1005">
        <v>2.4</v>
      </c>
      <c r="L1005">
        <v>5.6</v>
      </c>
      <c r="M1005">
        <v>11.5</v>
      </c>
      <c r="N1005">
        <v>19.8</v>
      </c>
      <c r="O1005">
        <v>22.2</v>
      </c>
      <c r="P1005">
        <v>77.8</v>
      </c>
      <c r="Q1005">
        <v>2.0000000000000001E-4</v>
      </c>
    </row>
    <row r="1006" spans="1:17">
      <c r="A1006">
        <v>1900.7</v>
      </c>
      <c r="B1006">
        <v>1874.2</v>
      </c>
      <c r="C1006">
        <v>1282</v>
      </c>
      <c r="D1006">
        <v>1235</v>
      </c>
      <c r="E1006" t="s">
        <v>66</v>
      </c>
      <c r="F1006" t="b">
        <v>0</v>
      </c>
      <c r="G1006" t="b">
        <v>0</v>
      </c>
      <c r="H1006">
        <v>2.2000000000000002</v>
      </c>
      <c r="I1006" t="s">
        <v>159</v>
      </c>
      <c r="J1006">
        <v>0.73499999999999999</v>
      </c>
      <c r="K1006">
        <v>2.4</v>
      </c>
      <c r="L1006">
        <v>5.6</v>
      </c>
      <c r="M1006">
        <v>11.5</v>
      </c>
      <c r="N1006">
        <v>19.8</v>
      </c>
      <c r="O1006">
        <v>22.2</v>
      </c>
      <c r="P1006">
        <v>77.8</v>
      </c>
      <c r="Q1006">
        <v>2.0000000000000001E-4</v>
      </c>
    </row>
    <row r="1007" spans="1:17">
      <c r="A1007">
        <v>1902.2</v>
      </c>
      <c r="B1007">
        <v>1875.7</v>
      </c>
      <c r="C1007">
        <v>1283</v>
      </c>
      <c r="D1007">
        <v>1236</v>
      </c>
      <c r="E1007" t="s">
        <v>66</v>
      </c>
      <c r="F1007" t="b">
        <v>0</v>
      </c>
      <c r="G1007" t="b">
        <v>0</v>
      </c>
      <c r="H1007">
        <v>1.5</v>
      </c>
      <c r="I1007" t="s">
        <v>159</v>
      </c>
      <c r="J1007">
        <v>0.73499999999999999</v>
      </c>
      <c r="K1007">
        <v>2.4</v>
      </c>
      <c r="L1007">
        <v>5.6</v>
      </c>
      <c r="M1007">
        <v>11.5</v>
      </c>
      <c r="N1007">
        <v>19.8</v>
      </c>
      <c r="O1007">
        <v>22.2</v>
      </c>
      <c r="P1007">
        <v>77.8</v>
      </c>
      <c r="Q1007">
        <v>2.0000000000000001E-4</v>
      </c>
    </row>
    <row r="1008" spans="1:17">
      <c r="A1008">
        <v>1957.7</v>
      </c>
      <c r="B1008">
        <v>1931.2</v>
      </c>
      <c r="C1008">
        <v>1323</v>
      </c>
      <c r="D1008">
        <v>1265</v>
      </c>
      <c r="E1008" t="s">
        <v>66</v>
      </c>
      <c r="F1008" t="b">
        <v>0</v>
      </c>
      <c r="G1008" t="b">
        <v>1</v>
      </c>
      <c r="H1008">
        <v>55.5</v>
      </c>
      <c r="I1008" t="s">
        <v>159</v>
      </c>
      <c r="J1008">
        <v>0.79600000000000004</v>
      </c>
      <c r="K1008">
        <v>2.89</v>
      </c>
      <c r="L1008">
        <v>6.42</v>
      </c>
      <c r="M1008">
        <v>12.9</v>
      </c>
      <c r="N1008">
        <v>22.2</v>
      </c>
      <c r="O1008">
        <v>18.91</v>
      </c>
      <c r="P1008">
        <v>80.430000000000007</v>
      </c>
      <c r="Q1008">
        <v>0.66</v>
      </c>
    </row>
    <row r="1009" spans="1:17">
      <c r="A1009">
        <v>1960.4</v>
      </c>
      <c r="B1009">
        <v>1933.9</v>
      </c>
      <c r="C1009">
        <v>1325</v>
      </c>
      <c r="D1009">
        <v>1266</v>
      </c>
      <c r="E1009" t="s">
        <v>66</v>
      </c>
      <c r="F1009" t="b">
        <v>0</v>
      </c>
      <c r="G1009" t="b">
        <v>0</v>
      </c>
      <c r="H1009">
        <v>2.7</v>
      </c>
      <c r="I1009">
        <v>5.3979999999999997</v>
      </c>
      <c r="J1009">
        <v>0.79600000000000004</v>
      </c>
      <c r="K1009">
        <v>2.89</v>
      </c>
      <c r="L1009">
        <v>6.42</v>
      </c>
      <c r="M1009">
        <v>12.9</v>
      </c>
      <c r="N1009">
        <v>22.2</v>
      </c>
      <c r="O1009">
        <v>18.91</v>
      </c>
      <c r="P1009">
        <v>80.430000000000007</v>
      </c>
      <c r="Q1009">
        <v>0.66</v>
      </c>
    </row>
    <row r="1010" spans="1:17">
      <c r="A1010">
        <v>1962.5</v>
      </c>
      <c r="B1010">
        <v>1936</v>
      </c>
      <c r="C1010">
        <v>1327</v>
      </c>
      <c r="D1010">
        <v>1267</v>
      </c>
      <c r="E1010" t="s">
        <v>66</v>
      </c>
      <c r="F1010" t="b">
        <v>0</v>
      </c>
      <c r="G1010" t="b">
        <v>0</v>
      </c>
      <c r="H1010">
        <v>2.1</v>
      </c>
      <c r="I1010">
        <v>5.3979999999999997</v>
      </c>
      <c r="J1010">
        <v>0.79600000000000004</v>
      </c>
      <c r="K1010">
        <v>2.89</v>
      </c>
      <c r="L1010">
        <v>6.42</v>
      </c>
      <c r="M1010">
        <v>12.9</v>
      </c>
      <c r="N1010">
        <v>22.2</v>
      </c>
      <c r="O1010">
        <v>18.91</v>
      </c>
      <c r="P1010">
        <v>80.430000000000007</v>
      </c>
      <c r="Q1010">
        <v>0.66</v>
      </c>
    </row>
    <row r="1011" spans="1:17">
      <c r="A1011">
        <v>1964.6</v>
      </c>
      <c r="B1011">
        <v>1938.1</v>
      </c>
      <c r="C1011">
        <v>1328</v>
      </c>
      <c r="D1011">
        <v>1268</v>
      </c>
      <c r="E1011" t="s">
        <v>66</v>
      </c>
      <c r="F1011" t="b">
        <v>0</v>
      </c>
      <c r="G1011" t="b">
        <v>0</v>
      </c>
      <c r="H1011">
        <v>2.1</v>
      </c>
      <c r="I1011">
        <v>5.3979999999999997</v>
      </c>
      <c r="J1011">
        <v>0.79600000000000004</v>
      </c>
      <c r="K1011">
        <v>2.89</v>
      </c>
      <c r="L1011">
        <v>6.42</v>
      </c>
      <c r="M1011">
        <v>12.9</v>
      </c>
      <c r="N1011">
        <v>22.2</v>
      </c>
      <c r="O1011">
        <v>18.91</v>
      </c>
      <c r="P1011">
        <v>80.430000000000007</v>
      </c>
      <c r="Q1011">
        <v>0.66</v>
      </c>
    </row>
    <row r="1012" spans="1:17">
      <c r="A1012">
        <v>1967.4</v>
      </c>
      <c r="B1012">
        <v>1940.9</v>
      </c>
      <c r="C1012">
        <v>1330</v>
      </c>
      <c r="D1012">
        <v>1269</v>
      </c>
      <c r="E1012" t="s">
        <v>66</v>
      </c>
      <c r="F1012" t="b">
        <v>0</v>
      </c>
      <c r="G1012" t="b">
        <v>0</v>
      </c>
      <c r="H1012">
        <v>2.7</v>
      </c>
      <c r="I1012">
        <v>5.3979999999999997</v>
      </c>
      <c r="J1012">
        <v>0.79600000000000004</v>
      </c>
      <c r="K1012">
        <v>2.89</v>
      </c>
      <c r="L1012">
        <v>6.42</v>
      </c>
      <c r="M1012">
        <v>12.9</v>
      </c>
      <c r="N1012">
        <v>22.2</v>
      </c>
      <c r="O1012">
        <v>18.91</v>
      </c>
      <c r="P1012">
        <v>80.430000000000007</v>
      </c>
      <c r="Q1012">
        <v>0.66</v>
      </c>
    </row>
    <row r="1013" spans="1:17">
      <c r="A1013">
        <v>1969.8</v>
      </c>
      <c r="B1013">
        <v>1943.3</v>
      </c>
      <c r="C1013">
        <v>1332</v>
      </c>
      <c r="D1013">
        <v>1270</v>
      </c>
      <c r="E1013" t="s">
        <v>66</v>
      </c>
      <c r="F1013" t="b">
        <v>0</v>
      </c>
      <c r="G1013" t="b">
        <v>0</v>
      </c>
      <c r="H1013">
        <v>2.4</v>
      </c>
      <c r="I1013">
        <v>4.4850000000000003</v>
      </c>
      <c r="J1013">
        <v>0.79600000000000004</v>
      </c>
      <c r="K1013">
        <v>2.89</v>
      </c>
      <c r="L1013">
        <v>6.42</v>
      </c>
      <c r="M1013">
        <v>12.9</v>
      </c>
      <c r="N1013">
        <v>22.2</v>
      </c>
      <c r="O1013">
        <v>18.91</v>
      </c>
      <c r="P1013">
        <v>80.430000000000007</v>
      </c>
      <c r="Q1013">
        <v>0.66</v>
      </c>
    </row>
    <row r="1014" spans="1:17">
      <c r="A1014">
        <v>2044.2</v>
      </c>
      <c r="B1014">
        <v>2017.7</v>
      </c>
      <c r="C1014">
        <v>1385</v>
      </c>
      <c r="D1014">
        <v>1311</v>
      </c>
      <c r="E1014" t="s">
        <v>66</v>
      </c>
      <c r="F1014" t="b">
        <v>0</v>
      </c>
      <c r="G1014" t="b">
        <v>1</v>
      </c>
      <c r="H1014">
        <v>74.5</v>
      </c>
      <c r="I1014" t="s">
        <v>159</v>
      </c>
      <c r="J1014" t="s">
        <v>159</v>
      </c>
      <c r="K1014" t="s">
        <v>159</v>
      </c>
      <c r="L1014" t="s">
        <v>159</v>
      </c>
      <c r="M1014" t="s">
        <v>159</v>
      </c>
      <c r="N1014" t="s">
        <v>159</v>
      </c>
      <c r="O1014" t="s">
        <v>159</v>
      </c>
      <c r="P1014" t="s">
        <v>159</v>
      </c>
      <c r="Q1014" t="s">
        <v>159</v>
      </c>
    </row>
    <row r="1015" spans="1:17">
      <c r="A1015">
        <v>2045.1</v>
      </c>
      <c r="B1015">
        <v>2018.6</v>
      </c>
      <c r="C1015">
        <v>1386</v>
      </c>
      <c r="D1015">
        <v>1312</v>
      </c>
      <c r="E1015" t="s">
        <v>66</v>
      </c>
      <c r="F1015" t="b">
        <v>0</v>
      </c>
      <c r="G1015" t="b">
        <v>0</v>
      </c>
      <c r="H1015">
        <v>0.8</v>
      </c>
      <c r="I1015" t="s">
        <v>159</v>
      </c>
      <c r="J1015" t="s">
        <v>159</v>
      </c>
      <c r="K1015" t="s">
        <v>159</v>
      </c>
      <c r="L1015" t="s">
        <v>159</v>
      </c>
      <c r="M1015" t="s">
        <v>159</v>
      </c>
      <c r="N1015" t="s">
        <v>159</v>
      </c>
      <c r="O1015" t="s">
        <v>159</v>
      </c>
      <c r="P1015" t="s">
        <v>159</v>
      </c>
      <c r="Q1015" t="s">
        <v>159</v>
      </c>
    </row>
    <row r="1016" spans="1:17">
      <c r="A1016">
        <v>2046.8</v>
      </c>
      <c r="B1016">
        <v>2020.3</v>
      </c>
      <c r="C1016">
        <v>1387</v>
      </c>
      <c r="D1016">
        <v>1313</v>
      </c>
      <c r="E1016" t="s">
        <v>66</v>
      </c>
      <c r="F1016" t="b">
        <v>0</v>
      </c>
      <c r="G1016" t="b">
        <v>0</v>
      </c>
      <c r="H1016">
        <v>1.8</v>
      </c>
      <c r="I1016" t="s">
        <v>159</v>
      </c>
      <c r="J1016" t="s">
        <v>159</v>
      </c>
      <c r="K1016" t="s">
        <v>159</v>
      </c>
      <c r="L1016" t="s">
        <v>159</v>
      </c>
      <c r="M1016" t="s">
        <v>159</v>
      </c>
      <c r="N1016" t="s">
        <v>159</v>
      </c>
      <c r="O1016" t="s">
        <v>159</v>
      </c>
      <c r="P1016" t="s">
        <v>159</v>
      </c>
      <c r="Q1016" t="s">
        <v>159</v>
      </c>
    </row>
    <row r="1017" spans="1:17">
      <c r="A1017">
        <v>2053.8000000000002</v>
      </c>
      <c r="B1017">
        <v>2027.3</v>
      </c>
      <c r="C1017">
        <v>1392</v>
      </c>
      <c r="D1017">
        <v>1317</v>
      </c>
      <c r="E1017" t="s">
        <v>66</v>
      </c>
      <c r="F1017" t="b">
        <v>0</v>
      </c>
      <c r="G1017" t="b">
        <v>1</v>
      </c>
      <c r="H1017">
        <v>6.9</v>
      </c>
      <c r="I1017">
        <v>4.9139999999999997</v>
      </c>
      <c r="J1017" t="s">
        <v>159</v>
      </c>
      <c r="K1017" t="s">
        <v>159</v>
      </c>
      <c r="L1017" t="s">
        <v>159</v>
      </c>
      <c r="M1017" t="s">
        <v>159</v>
      </c>
      <c r="N1017" t="s">
        <v>159</v>
      </c>
      <c r="O1017" t="s">
        <v>159</v>
      </c>
      <c r="P1017" t="s">
        <v>159</v>
      </c>
      <c r="Q1017" t="s">
        <v>159</v>
      </c>
    </row>
    <row r="1018" spans="1:17">
      <c r="A1018">
        <v>2055.8000000000002</v>
      </c>
      <c r="B1018">
        <v>2029.3</v>
      </c>
      <c r="C1018">
        <v>1394</v>
      </c>
      <c r="D1018">
        <v>1318</v>
      </c>
      <c r="E1018" t="s">
        <v>66</v>
      </c>
      <c r="F1018" t="b">
        <v>0</v>
      </c>
      <c r="G1018" t="b">
        <v>0</v>
      </c>
      <c r="H1018">
        <v>2</v>
      </c>
      <c r="I1018">
        <v>4.9139999999999997</v>
      </c>
      <c r="J1018">
        <v>0.89200000000000002</v>
      </c>
      <c r="K1018">
        <v>3.22</v>
      </c>
      <c r="L1018">
        <v>6.73</v>
      </c>
      <c r="M1018">
        <v>12.7</v>
      </c>
      <c r="N1018">
        <v>20.7</v>
      </c>
      <c r="O1018">
        <v>16.59</v>
      </c>
      <c r="P1018">
        <v>83.23</v>
      </c>
      <c r="Q1018">
        <v>0.18</v>
      </c>
    </row>
    <row r="1019" spans="1:17">
      <c r="A1019">
        <v>2057.5</v>
      </c>
      <c r="B1019">
        <v>2031</v>
      </c>
      <c r="C1019">
        <v>1395</v>
      </c>
      <c r="D1019">
        <v>1319</v>
      </c>
      <c r="E1019" t="s">
        <v>66</v>
      </c>
      <c r="F1019" t="b">
        <v>0</v>
      </c>
      <c r="G1019" t="b">
        <v>0</v>
      </c>
      <c r="H1019">
        <v>1.7</v>
      </c>
      <c r="I1019">
        <v>4.9139999999999997</v>
      </c>
      <c r="J1019">
        <v>0.89200000000000002</v>
      </c>
      <c r="K1019">
        <v>3.22</v>
      </c>
      <c r="L1019">
        <v>6.73</v>
      </c>
      <c r="M1019">
        <v>12.7</v>
      </c>
      <c r="N1019">
        <v>20.7</v>
      </c>
      <c r="O1019">
        <v>16.59</v>
      </c>
      <c r="P1019">
        <v>83.23</v>
      </c>
      <c r="Q1019">
        <v>0.18</v>
      </c>
    </row>
    <row r="1020" spans="1:17">
      <c r="A1020">
        <v>2060.5</v>
      </c>
      <c r="B1020">
        <v>2034</v>
      </c>
      <c r="C1020">
        <v>1397</v>
      </c>
      <c r="D1020">
        <v>1321</v>
      </c>
      <c r="E1020" t="s">
        <v>66</v>
      </c>
      <c r="F1020" t="b">
        <v>0</v>
      </c>
      <c r="G1020" t="b">
        <v>1</v>
      </c>
      <c r="H1020">
        <v>3.1</v>
      </c>
      <c r="I1020">
        <v>4.9139999999999997</v>
      </c>
      <c r="J1020">
        <v>0.89200000000000002</v>
      </c>
      <c r="K1020">
        <v>3.22</v>
      </c>
      <c r="L1020">
        <v>6.73</v>
      </c>
      <c r="M1020">
        <v>12.7</v>
      </c>
      <c r="N1020">
        <v>20.7</v>
      </c>
      <c r="O1020">
        <v>16.59</v>
      </c>
      <c r="P1020">
        <v>83.23</v>
      </c>
      <c r="Q1020">
        <v>0.18</v>
      </c>
    </row>
    <row r="1021" spans="1:17">
      <c r="A1021">
        <v>2061.6</v>
      </c>
      <c r="B1021">
        <v>2035.1</v>
      </c>
      <c r="C1021">
        <v>1398</v>
      </c>
      <c r="D1021">
        <v>1322</v>
      </c>
      <c r="E1021" t="s">
        <v>66</v>
      </c>
      <c r="F1021" t="b">
        <v>0</v>
      </c>
      <c r="G1021" t="b">
        <v>0</v>
      </c>
      <c r="H1021">
        <v>1.1000000000000001</v>
      </c>
      <c r="I1021">
        <v>4.9139999999999997</v>
      </c>
      <c r="J1021">
        <v>0.89200000000000002</v>
      </c>
      <c r="K1021">
        <v>3.22</v>
      </c>
      <c r="L1021">
        <v>6.73</v>
      </c>
      <c r="M1021">
        <v>12.7</v>
      </c>
      <c r="N1021">
        <v>20.7</v>
      </c>
      <c r="O1021">
        <v>16.59</v>
      </c>
      <c r="P1021">
        <v>83.23</v>
      </c>
      <c r="Q1021">
        <v>0.18</v>
      </c>
    </row>
    <row r="1022" spans="1:17">
      <c r="A1022">
        <v>2062.6</v>
      </c>
      <c r="B1022">
        <v>2036.1</v>
      </c>
      <c r="C1022">
        <v>1399</v>
      </c>
      <c r="D1022">
        <v>1323</v>
      </c>
      <c r="E1022" t="s">
        <v>66</v>
      </c>
      <c r="F1022" t="b">
        <v>0</v>
      </c>
      <c r="G1022" t="b">
        <v>0</v>
      </c>
      <c r="H1022">
        <v>1</v>
      </c>
      <c r="I1022">
        <v>4.9139999999999997</v>
      </c>
      <c r="J1022">
        <v>0.89200000000000002</v>
      </c>
      <c r="K1022">
        <v>3.22</v>
      </c>
      <c r="L1022">
        <v>6.73</v>
      </c>
      <c r="M1022">
        <v>12.7</v>
      </c>
      <c r="N1022">
        <v>20.7</v>
      </c>
      <c r="O1022">
        <v>16.59</v>
      </c>
      <c r="P1022">
        <v>83.23</v>
      </c>
      <c r="Q1022">
        <v>0.18</v>
      </c>
    </row>
    <row r="1023" spans="1:17">
      <c r="A1023">
        <v>2063.9</v>
      </c>
      <c r="B1023">
        <v>2037.4</v>
      </c>
      <c r="C1023">
        <v>1400</v>
      </c>
      <c r="D1023">
        <v>1324</v>
      </c>
      <c r="E1023" t="s">
        <v>66</v>
      </c>
      <c r="F1023" t="b">
        <v>0</v>
      </c>
      <c r="G1023" t="b">
        <v>0</v>
      </c>
      <c r="H1023">
        <v>1.3</v>
      </c>
      <c r="I1023">
        <v>4.9139999999999997</v>
      </c>
      <c r="J1023">
        <v>0.89200000000000002</v>
      </c>
      <c r="K1023">
        <v>3.22</v>
      </c>
      <c r="L1023">
        <v>6.73</v>
      </c>
      <c r="M1023">
        <v>12.7</v>
      </c>
      <c r="N1023">
        <v>20.7</v>
      </c>
      <c r="O1023">
        <v>16.59</v>
      </c>
      <c r="P1023">
        <v>83.23</v>
      </c>
      <c r="Q1023">
        <v>0.18</v>
      </c>
    </row>
    <row r="1024" spans="1:17">
      <c r="A1024">
        <v>2065.1</v>
      </c>
      <c r="B1024">
        <v>2038.6</v>
      </c>
      <c r="C1024">
        <v>1401</v>
      </c>
      <c r="D1024">
        <v>1325</v>
      </c>
      <c r="E1024" t="s">
        <v>66</v>
      </c>
      <c r="F1024" t="b">
        <v>0</v>
      </c>
      <c r="G1024" t="b">
        <v>0</v>
      </c>
      <c r="H1024">
        <v>1.3</v>
      </c>
      <c r="I1024">
        <v>4.9139999999999997</v>
      </c>
      <c r="J1024">
        <v>0.89200000000000002</v>
      </c>
      <c r="K1024">
        <v>3.22</v>
      </c>
      <c r="L1024">
        <v>6.73</v>
      </c>
      <c r="M1024">
        <v>12.7</v>
      </c>
      <c r="N1024">
        <v>20.7</v>
      </c>
      <c r="O1024">
        <v>16.59</v>
      </c>
      <c r="P1024">
        <v>83.23</v>
      </c>
      <c r="Q1024">
        <v>0.18</v>
      </c>
    </row>
    <row r="1025" spans="1:17">
      <c r="A1025">
        <v>2067</v>
      </c>
      <c r="B1025">
        <v>2040.5</v>
      </c>
      <c r="C1025">
        <v>1402</v>
      </c>
      <c r="D1025">
        <v>1326</v>
      </c>
      <c r="E1025" t="s">
        <v>66</v>
      </c>
      <c r="F1025" t="b">
        <v>0</v>
      </c>
      <c r="G1025" t="b">
        <v>0</v>
      </c>
      <c r="H1025">
        <v>1.9</v>
      </c>
      <c r="I1025">
        <v>4.9139999999999997</v>
      </c>
      <c r="J1025">
        <v>0.89200000000000002</v>
      </c>
      <c r="K1025">
        <v>3.22</v>
      </c>
      <c r="L1025">
        <v>6.73</v>
      </c>
      <c r="M1025">
        <v>12.7</v>
      </c>
      <c r="N1025">
        <v>20.7</v>
      </c>
      <c r="O1025">
        <v>16.59</v>
      </c>
      <c r="P1025">
        <v>83.23</v>
      </c>
      <c r="Q1025">
        <v>0.18</v>
      </c>
    </row>
    <row r="1026" spans="1:17">
      <c r="A1026">
        <v>2068.1999999999998</v>
      </c>
      <c r="B1026">
        <v>2041.7</v>
      </c>
      <c r="C1026">
        <v>1403</v>
      </c>
      <c r="D1026">
        <v>1327</v>
      </c>
      <c r="E1026" t="s">
        <v>66</v>
      </c>
      <c r="F1026" t="b">
        <v>0</v>
      </c>
      <c r="G1026" t="b">
        <v>0</v>
      </c>
      <c r="H1026">
        <v>1.2</v>
      </c>
      <c r="I1026">
        <v>4.9139999999999997</v>
      </c>
      <c r="J1026">
        <v>0.89200000000000002</v>
      </c>
      <c r="K1026">
        <v>3.22</v>
      </c>
      <c r="L1026">
        <v>6.73</v>
      </c>
      <c r="M1026">
        <v>12.7</v>
      </c>
      <c r="N1026">
        <v>20.7</v>
      </c>
      <c r="O1026">
        <v>16.59</v>
      </c>
      <c r="P1026">
        <v>83.23</v>
      </c>
      <c r="Q1026">
        <v>0.18</v>
      </c>
    </row>
    <row r="1027" spans="1:17">
      <c r="A1027">
        <v>2070.4</v>
      </c>
      <c r="B1027">
        <v>2043.9</v>
      </c>
      <c r="C1027">
        <v>1404</v>
      </c>
      <c r="D1027">
        <v>1328</v>
      </c>
      <c r="E1027" t="s">
        <v>66</v>
      </c>
      <c r="F1027" t="b">
        <v>0</v>
      </c>
      <c r="G1027" t="b">
        <v>0</v>
      </c>
      <c r="H1027">
        <v>2.2000000000000002</v>
      </c>
      <c r="I1027">
        <v>3.8610000000000002</v>
      </c>
      <c r="J1027">
        <v>0.89200000000000002</v>
      </c>
      <c r="K1027">
        <v>3.22</v>
      </c>
      <c r="L1027">
        <v>6.73</v>
      </c>
      <c r="M1027">
        <v>12.7</v>
      </c>
      <c r="N1027">
        <v>20.7</v>
      </c>
      <c r="O1027">
        <v>16.59</v>
      </c>
      <c r="P1027">
        <v>83.23</v>
      </c>
      <c r="Q1027">
        <v>0.18</v>
      </c>
    </row>
    <row r="1028" spans="1:17">
      <c r="A1028">
        <v>2082.1</v>
      </c>
      <c r="B1028">
        <v>2055.6</v>
      </c>
      <c r="C1028">
        <v>1413</v>
      </c>
      <c r="D1028">
        <v>1336</v>
      </c>
      <c r="E1028" t="s">
        <v>66</v>
      </c>
      <c r="F1028" t="b">
        <v>0</v>
      </c>
      <c r="G1028" t="b">
        <v>1</v>
      </c>
      <c r="H1028">
        <v>11.8</v>
      </c>
      <c r="I1028">
        <v>3.8610000000000002</v>
      </c>
      <c r="J1028" t="s">
        <v>159</v>
      </c>
      <c r="K1028" t="s">
        <v>159</v>
      </c>
      <c r="L1028" t="s">
        <v>159</v>
      </c>
      <c r="M1028" t="s">
        <v>159</v>
      </c>
      <c r="N1028" t="s">
        <v>159</v>
      </c>
      <c r="O1028" t="s">
        <v>159</v>
      </c>
      <c r="P1028" t="s">
        <v>159</v>
      </c>
      <c r="Q1028" t="s">
        <v>159</v>
      </c>
    </row>
    <row r="1029" spans="1:17">
      <c r="A1029">
        <v>2083.8000000000002</v>
      </c>
      <c r="B1029">
        <v>2057.3000000000002</v>
      </c>
      <c r="C1029">
        <v>1414</v>
      </c>
      <c r="D1029">
        <v>1337</v>
      </c>
      <c r="E1029" t="s">
        <v>66</v>
      </c>
      <c r="F1029" t="b">
        <v>0</v>
      </c>
      <c r="G1029" t="b">
        <v>0</v>
      </c>
      <c r="H1029">
        <v>1.6</v>
      </c>
      <c r="I1029">
        <v>3.8610000000000002</v>
      </c>
      <c r="J1029" t="s">
        <v>159</v>
      </c>
      <c r="K1029" t="s">
        <v>159</v>
      </c>
      <c r="L1029" t="s">
        <v>159</v>
      </c>
      <c r="M1029" t="s">
        <v>159</v>
      </c>
      <c r="N1029" t="s">
        <v>159</v>
      </c>
      <c r="O1029" t="s">
        <v>159</v>
      </c>
      <c r="P1029" t="s">
        <v>159</v>
      </c>
      <c r="Q1029" t="s">
        <v>159</v>
      </c>
    </row>
    <row r="1030" spans="1:17">
      <c r="A1030">
        <v>2084.6</v>
      </c>
      <c r="B1030">
        <v>2058.1</v>
      </c>
      <c r="C1030">
        <v>1415</v>
      </c>
      <c r="D1030">
        <v>1338</v>
      </c>
      <c r="E1030" t="s">
        <v>66</v>
      </c>
      <c r="F1030" t="b">
        <v>0</v>
      </c>
      <c r="G1030" t="b">
        <v>0</v>
      </c>
      <c r="H1030">
        <v>0.9</v>
      </c>
      <c r="I1030">
        <v>3.8610000000000002</v>
      </c>
      <c r="J1030" t="s">
        <v>159</v>
      </c>
      <c r="K1030" t="s">
        <v>159</v>
      </c>
      <c r="L1030" t="s">
        <v>159</v>
      </c>
      <c r="M1030" t="s">
        <v>159</v>
      </c>
      <c r="N1030" t="s">
        <v>159</v>
      </c>
      <c r="O1030" t="s">
        <v>159</v>
      </c>
      <c r="P1030" t="s">
        <v>159</v>
      </c>
      <c r="Q1030" t="s">
        <v>159</v>
      </c>
    </row>
    <row r="1031" spans="1:17">
      <c r="A1031">
        <v>2085.8000000000002</v>
      </c>
      <c r="B1031">
        <v>2059.3000000000002</v>
      </c>
      <c r="C1031">
        <v>1415</v>
      </c>
      <c r="D1031">
        <v>1339</v>
      </c>
      <c r="E1031" t="s">
        <v>66</v>
      </c>
      <c r="F1031" t="b">
        <v>0</v>
      </c>
      <c r="G1031" t="b">
        <v>0</v>
      </c>
      <c r="H1031">
        <v>1.1000000000000001</v>
      </c>
      <c r="I1031">
        <v>3.8610000000000002</v>
      </c>
      <c r="J1031" t="s">
        <v>159</v>
      </c>
      <c r="K1031" t="s">
        <v>159</v>
      </c>
      <c r="L1031" t="s">
        <v>159</v>
      </c>
      <c r="M1031" t="s">
        <v>159</v>
      </c>
      <c r="N1031" t="s">
        <v>159</v>
      </c>
      <c r="O1031" t="s">
        <v>159</v>
      </c>
      <c r="P1031" t="s">
        <v>159</v>
      </c>
      <c r="Q1031" t="s">
        <v>159</v>
      </c>
    </row>
    <row r="1032" spans="1:17">
      <c r="A1032">
        <v>2087.1999999999998</v>
      </c>
      <c r="B1032">
        <v>2060.6999999999998</v>
      </c>
      <c r="C1032">
        <v>1416</v>
      </c>
      <c r="D1032">
        <v>1340</v>
      </c>
      <c r="E1032" t="s">
        <v>66</v>
      </c>
      <c r="F1032" t="b">
        <v>0</v>
      </c>
      <c r="G1032" t="b">
        <v>0</v>
      </c>
      <c r="H1032">
        <v>1.4</v>
      </c>
      <c r="I1032">
        <v>3.8610000000000002</v>
      </c>
      <c r="J1032" t="s">
        <v>159</v>
      </c>
      <c r="K1032" t="s">
        <v>159</v>
      </c>
      <c r="L1032" t="s">
        <v>159</v>
      </c>
      <c r="M1032" t="s">
        <v>159</v>
      </c>
      <c r="N1032" t="s">
        <v>159</v>
      </c>
      <c r="O1032" t="s">
        <v>159</v>
      </c>
      <c r="P1032" t="s">
        <v>159</v>
      </c>
      <c r="Q1032" t="s">
        <v>159</v>
      </c>
    </row>
    <row r="1033" spans="1:17">
      <c r="A1033">
        <v>2088.8000000000002</v>
      </c>
      <c r="B1033">
        <v>2062.3000000000002</v>
      </c>
      <c r="C1033">
        <v>1418</v>
      </c>
      <c r="D1033">
        <v>1341</v>
      </c>
      <c r="E1033" t="s">
        <v>66</v>
      </c>
      <c r="F1033" t="b">
        <v>0</v>
      </c>
      <c r="G1033" t="b">
        <v>0</v>
      </c>
      <c r="H1033">
        <v>1.6</v>
      </c>
      <c r="I1033">
        <v>3.8610000000000002</v>
      </c>
      <c r="J1033" t="s">
        <v>159</v>
      </c>
      <c r="K1033" t="s">
        <v>159</v>
      </c>
      <c r="L1033" t="s">
        <v>159</v>
      </c>
      <c r="M1033" t="s">
        <v>159</v>
      </c>
      <c r="N1033" t="s">
        <v>159</v>
      </c>
      <c r="O1033" t="s">
        <v>159</v>
      </c>
      <c r="P1033" t="s">
        <v>159</v>
      </c>
      <c r="Q1033" t="s">
        <v>159</v>
      </c>
    </row>
    <row r="1034" spans="1:17">
      <c r="A1034">
        <v>2091</v>
      </c>
      <c r="B1034">
        <v>2064.5</v>
      </c>
      <c r="C1034">
        <v>1419</v>
      </c>
      <c r="D1034">
        <v>1342</v>
      </c>
      <c r="E1034" t="s">
        <v>66</v>
      </c>
      <c r="F1034" t="b">
        <v>0</v>
      </c>
      <c r="G1034" t="b">
        <v>0</v>
      </c>
      <c r="H1034">
        <v>2.2000000000000002</v>
      </c>
      <c r="I1034" t="s">
        <v>159</v>
      </c>
      <c r="J1034" t="s">
        <v>159</v>
      </c>
      <c r="K1034" t="s">
        <v>159</v>
      </c>
      <c r="L1034" t="s">
        <v>159</v>
      </c>
      <c r="M1034" t="s">
        <v>159</v>
      </c>
      <c r="N1034" t="s">
        <v>159</v>
      </c>
      <c r="O1034" t="s">
        <v>159</v>
      </c>
      <c r="P1034" t="s">
        <v>159</v>
      </c>
      <c r="Q1034" t="s">
        <v>159</v>
      </c>
    </row>
    <row r="1035" spans="1:17">
      <c r="A1035">
        <v>2092.6999999999998</v>
      </c>
      <c r="B1035">
        <v>2066.1999999999998</v>
      </c>
      <c r="C1035">
        <v>1420</v>
      </c>
      <c r="D1035">
        <v>1343</v>
      </c>
      <c r="E1035" t="s">
        <v>66</v>
      </c>
      <c r="F1035" t="b">
        <v>0</v>
      </c>
      <c r="G1035" t="b">
        <v>0</v>
      </c>
      <c r="H1035">
        <v>1.7</v>
      </c>
      <c r="I1035" t="s">
        <v>159</v>
      </c>
      <c r="J1035" t="s">
        <v>159</v>
      </c>
      <c r="K1035" t="s">
        <v>159</v>
      </c>
      <c r="L1035" t="s">
        <v>159</v>
      </c>
      <c r="M1035" t="s">
        <v>159</v>
      </c>
      <c r="N1035" t="s">
        <v>159</v>
      </c>
      <c r="O1035" t="s">
        <v>159</v>
      </c>
      <c r="P1035" t="s">
        <v>159</v>
      </c>
      <c r="Q1035" t="s">
        <v>159</v>
      </c>
    </row>
    <row r="1036" spans="1:17">
      <c r="A1036">
        <v>2112.9</v>
      </c>
      <c r="B1036">
        <v>2086.4</v>
      </c>
      <c r="C1036">
        <v>1435</v>
      </c>
      <c r="D1036">
        <v>1355</v>
      </c>
      <c r="E1036" t="s">
        <v>66</v>
      </c>
      <c r="F1036" t="b">
        <v>0</v>
      </c>
      <c r="G1036" t="b">
        <v>1</v>
      </c>
      <c r="H1036">
        <v>20.2</v>
      </c>
      <c r="I1036" t="s">
        <v>159</v>
      </c>
      <c r="J1036" t="s">
        <v>159</v>
      </c>
      <c r="K1036" t="s">
        <v>159</v>
      </c>
      <c r="L1036" t="s">
        <v>159</v>
      </c>
      <c r="M1036" t="s">
        <v>159</v>
      </c>
      <c r="N1036" t="s">
        <v>159</v>
      </c>
      <c r="O1036" t="s">
        <v>159</v>
      </c>
      <c r="P1036" t="s">
        <v>159</v>
      </c>
      <c r="Q1036" t="s">
        <v>159</v>
      </c>
    </row>
    <row r="1037" spans="1:17">
      <c r="A1037">
        <v>2114</v>
      </c>
      <c r="B1037">
        <v>2087.5</v>
      </c>
      <c r="C1037">
        <v>1436</v>
      </c>
      <c r="D1037">
        <v>1356</v>
      </c>
      <c r="E1037" t="s">
        <v>66</v>
      </c>
      <c r="F1037" t="b">
        <v>0</v>
      </c>
      <c r="G1037" t="b">
        <v>0</v>
      </c>
      <c r="H1037">
        <v>1.1000000000000001</v>
      </c>
      <c r="I1037" t="s">
        <v>159</v>
      </c>
      <c r="J1037" t="s">
        <v>159</v>
      </c>
      <c r="K1037" t="s">
        <v>159</v>
      </c>
      <c r="L1037" t="s">
        <v>159</v>
      </c>
      <c r="M1037" t="s">
        <v>159</v>
      </c>
      <c r="N1037" t="s">
        <v>159</v>
      </c>
      <c r="O1037" t="s">
        <v>159</v>
      </c>
      <c r="P1037" t="s">
        <v>159</v>
      </c>
      <c r="Q1037" t="s">
        <v>159</v>
      </c>
    </row>
    <row r="1038" spans="1:17">
      <c r="A1038">
        <v>2114.8000000000002</v>
      </c>
      <c r="B1038">
        <v>2088.3000000000002</v>
      </c>
      <c r="C1038">
        <v>1436</v>
      </c>
      <c r="D1038">
        <v>1357</v>
      </c>
      <c r="E1038" t="s">
        <v>66</v>
      </c>
      <c r="F1038" t="b">
        <v>0</v>
      </c>
      <c r="G1038" t="b">
        <v>0</v>
      </c>
      <c r="H1038">
        <v>0.8</v>
      </c>
      <c r="I1038" t="s">
        <v>159</v>
      </c>
      <c r="J1038" t="s">
        <v>159</v>
      </c>
      <c r="K1038" t="s">
        <v>159</v>
      </c>
      <c r="L1038" t="s">
        <v>159</v>
      </c>
      <c r="M1038" t="s">
        <v>159</v>
      </c>
      <c r="N1038" t="s">
        <v>159</v>
      </c>
      <c r="O1038" t="s">
        <v>159</v>
      </c>
      <c r="P1038" t="s">
        <v>159</v>
      </c>
      <c r="Q1038" t="s">
        <v>159</v>
      </c>
    </row>
    <row r="1039" spans="1:17">
      <c r="A1039">
        <v>2117</v>
      </c>
      <c r="B1039">
        <v>2090.5</v>
      </c>
      <c r="C1039">
        <v>1438</v>
      </c>
      <c r="D1039">
        <v>1358</v>
      </c>
      <c r="E1039" t="s">
        <v>66</v>
      </c>
      <c r="F1039" t="b">
        <v>0</v>
      </c>
      <c r="G1039" t="b">
        <v>0</v>
      </c>
      <c r="H1039">
        <v>2.2000000000000002</v>
      </c>
      <c r="I1039" t="s">
        <v>159</v>
      </c>
      <c r="J1039" t="s">
        <v>159</v>
      </c>
      <c r="K1039" t="s">
        <v>159</v>
      </c>
      <c r="L1039" t="s">
        <v>159</v>
      </c>
      <c r="M1039" t="s">
        <v>159</v>
      </c>
      <c r="N1039" t="s">
        <v>159</v>
      </c>
      <c r="O1039" t="s">
        <v>159</v>
      </c>
      <c r="P1039" t="s">
        <v>159</v>
      </c>
      <c r="Q1039" t="s">
        <v>159</v>
      </c>
    </row>
    <row r="1040" spans="1:17">
      <c r="A1040">
        <v>2119.8000000000002</v>
      </c>
      <c r="B1040">
        <v>2093.3000000000002</v>
      </c>
      <c r="C1040">
        <v>1440</v>
      </c>
      <c r="D1040">
        <v>1359</v>
      </c>
      <c r="E1040" t="s">
        <v>66</v>
      </c>
      <c r="F1040" t="b">
        <v>0</v>
      </c>
      <c r="G1040" t="b">
        <v>0</v>
      </c>
      <c r="H1040">
        <v>2.8</v>
      </c>
      <c r="I1040">
        <v>4.74</v>
      </c>
      <c r="J1040" t="s">
        <v>159</v>
      </c>
      <c r="K1040" t="s">
        <v>159</v>
      </c>
      <c r="L1040" t="s">
        <v>159</v>
      </c>
      <c r="M1040" t="s">
        <v>159</v>
      </c>
      <c r="N1040" t="s">
        <v>159</v>
      </c>
      <c r="O1040" t="s">
        <v>159</v>
      </c>
      <c r="P1040" t="s">
        <v>159</v>
      </c>
      <c r="Q1040" t="s">
        <v>159</v>
      </c>
    </row>
    <row r="1041" spans="1:17">
      <c r="A1041">
        <v>2120.8000000000002</v>
      </c>
      <c r="B1041">
        <v>2094.4</v>
      </c>
      <c r="C1041">
        <v>1441</v>
      </c>
      <c r="D1041">
        <v>1360</v>
      </c>
      <c r="E1041" t="s">
        <v>66</v>
      </c>
      <c r="F1041" t="b">
        <v>0</v>
      </c>
      <c r="G1041" t="b">
        <v>0</v>
      </c>
      <c r="H1041">
        <v>1.1000000000000001</v>
      </c>
      <c r="I1041">
        <v>4.74</v>
      </c>
      <c r="J1041" t="s">
        <v>159</v>
      </c>
      <c r="K1041" t="s">
        <v>159</v>
      </c>
      <c r="L1041" t="s">
        <v>159</v>
      </c>
      <c r="M1041" t="s">
        <v>159</v>
      </c>
      <c r="N1041" t="s">
        <v>159</v>
      </c>
      <c r="O1041" t="s">
        <v>159</v>
      </c>
      <c r="P1041" t="s">
        <v>159</v>
      </c>
      <c r="Q1041" t="s">
        <v>159</v>
      </c>
    </row>
    <row r="1042" spans="1:17">
      <c r="A1042">
        <v>2122.1</v>
      </c>
      <c r="B1042">
        <v>2095.6</v>
      </c>
      <c r="C1042">
        <v>1441</v>
      </c>
      <c r="D1042">
        <v>1361</v>
      </c>
      <c r="E1042" t="s">
        <v>66</v>
      </c>
      <c r="F1042" t="b">
        <v>0</v>
      </c>
      <c r="G1042" t="b">
        <v>0</v>
      </c>
      <c r="H1042">
        <v>1.2</v>
      </c>
      <c r="I1042">
        <v>4.74</v>
      </c>
      <c r="J1042" t="s">
        <v>159</v>
      </c>
      <c r="K1042" t="s">
        <v>159</v>
      </c>
      <c r="L1042" t="s">
        <v>159</v>
      </c>
      <c r="M1042" t="s">
        <v>159</v>
      </c>
      <c r="N1042" t="s">
        <v>159</v>
      </c>
      <c r="O1042" t="s">
        <v>159</v>
      </c>
      <c r="P1042" t="s">
        <v>159</v>
      </c>
      <c r="Q1042" t="s">
        <v>159</v>
      </c>
    </row>
    <row r="1043" spans="1:17">
      <c r="A1043">
        <v>2124.8000000000002</v>
      </c>
      <c r="B1043">
        <v>2098.3000000000002</v>
      </c>
      <c r="C1043">
        <v>1443</v>
      </c>
      <c r="D1043">
        <v>1362</v>
      </c>
      <c r="E1043" t="s">
        <v>66</v>
      </c>
      <c r="F1043" t="b">
        <v>0</v>
      </c>
      <c r="G1043" t="b">
        <v>0</v>
      </c>
      <c r="H1043">
        <v>2.7</v>
      </c>
      <c r="I1043">
        <v>4.74</v>
      </c>
      <c r="J1043" t="s">
        <v>159</v>
      </c>
      <c r="K1043" t="s">
        <v>159</v>
      </c>
      <c r="L1043" t="s">
        <v>159</v>
      </c>
      <c r="M1043" t="s">
        <v>159</v>
      </c>
      <c r="N1043" t="s">
        <v>159</v>
      </c>
      <c r="O1043" t="s">
        <v>159</v>
      </c>
      <c r="P1043" t="s">
        <v>159</v>
      </c>
      <c r="Q1043" t="s">
        <v>159</v>
      </c>
    </row>
    <row r="1044" spans="1:17">
      <c r="A1044">
        <v>2126.8000000000002</v>
      </c>
      <c r="B1044">
        <v>2100.3000000000002</v>
      </c>
      <c r="C1044">
        <v>1445</v>
      </c>
      <c r="D1044">
        <v>1363</v>
      </c>
      <c r="E1044" t="s">
        <v>66</v>
      </c>
      <c r="F1044" t="b">
        <v>0</v>
      </c>
      <c r="G1044" t="b">
        <v>0</v>
      </c>
      <c r="H1044">
        <v>2.1</v>
      </c>
      <c r="I1044">
        <v>4.74</v>
      </c>
      <c r="J1044" t="s">
        <v>159</v>
      </c>
      <c r="K1044" t="s">
        <v>159</v>
      </c>
      <c r="L1044" t="s">
        <v>159</v>
      </c>
      <c r="M1044" t="s">
        <v>159</v>
      </c>
      <c r="N1044" t="s">
        <v>159</v>
      </c>
      <c r="O1044" t="s">
        <v>159</v>
      </c>
      <c r="P1044" t="s">
        <v>159</v>
      </c>
      <c r="Q1044" t="s">
        <v>159</v>
      </c>
    </row>
    <row r="1045" spans="1:17">
      <c r="A1045">
        <v>2129.1</v>
      </c>
      <c r="B1045">
        <v>2102.6</v>
      </c>
      <c r="C1045">
        <v>1447</v>
      </c>
      <c r="D1045">
        <v>1364</v>
      </c>
      <c r="E1045" t="s">
        <v>66</v>
      </c>
      <c r="F1045" t="b">
        <v>0</v>
      </c>
      <c r="G1045" t="b">
        <v>0</v>
      </c>
      <c r="H1045">
        <v>2.2999999999999998</v>
      </c>
      <c r="I1045">
        <v>4.74</v>
      </c>
      <c r="J1045" t="s">
        <v>159</v>
      </c>
      <c r="K1045" t="s">
        <v>159</v>
      </c>
      <c r="L1045" t="s">
        <v>159</v>
      </c>
      <c r="M1045" t="s">
        <v>159</v>
      </c>
      <c r="N1045" t="s">
        <v>159</v>
      </c>
      <c r="O1045" t="s">
        <v>159</v>
      </c>
      <c r="P1045" t="s">
        <v>159</v>
      </c>
      <c r="Q1045" t="s">
        <v>159</v>
      </c>
    </row>
    <row r="1046" spans="1:17">
      <c r="A1046">
        <v>2131.3000000000002</v>
      </c>
      <c r="B1046">
        <v>2104.8000000000002</v>
      </c>
      <c r="C1046">
        <v>1448</v>
      </c>
      <c r="D1046">
        <v>1365</v>
      </c>
      <c r="E1046" t="s">
        <v>66</v>
      </c>
      <c r="F1046" t="b">
        <v>0</v>
      </c>
      <c r="G1046" t="b">
        <v>0</v>
      </c>
      <c r="H1046">
        <v>2.2000000000000002</v>
      </c>
      <c r="I1046">
        <v>4.74</v>
      </c>
      <c r="J1046" t="s">
        <v>159</v>
      </c>
      <c r="K1046" t="s">
        <v>159</v>
      </c>
      <c r="L1046" t="s">
        <v>159</v>
      </c>
      <c r="M1046" t="s">
        <v>159</v>
      </c>
      <c r="N1046" t="s">
        <v>159</v>
      </c>
      <c r="O1046" t="s">
        <v>159</v>
      </c>
      <c r="P1046" t="s">
        <v>159</v>
      </c>
      <c r="Q1046" t="s">
        <v>159</v>
      </c>
    </row>
    <row r="1047" spans="1:17">
      <c r="A1047">
        <v>2133.8000000000002</v>
      </c>
      <c r="B1047">
        <v>2107.3000000000002</v>
      </c>
      <c r="C1047">
        <v>1450</v>
      </c>
      <c r="D1047">
        <v>1366</v>
      </c>
      <c r="E1047" t="s">
        <v>66</v>
      </c>
      <c r="F1047" t="b">
        <v>0</v>
      </c>
      <c r="G1047" t="b">
        <v>0</v>
      </c>
      <c r="H1047">
        <v>2.5</v>
      </c>
      <c r="I1047">
        <v>4.74</v>
      </c>
      <c r="J1047" t="s">
        <v>159</v>
      </c>
      <c r="K1047" t="s">
        <v>159</v>
      </c>
      <c r="L1047" t="s">
        <v>159</v>
      </c>
      <c r="M1047" t="s">
        <v>159</v>
      </c>
      <c r="N1047" t="s">
        <v>159</v>
      </c>
      <c r="O1047" t="s">
        <v>159</v>
      </c>
      <c r="P1047" t="s">
        <v>159</v>
      </c>
      <c r="Q1047" t="s">
        <v>159</v>
      </c>
    </row>
    <row r="1048" spans="1:17">
      <c r="A1048">
        <v>2134.8000000000002</v>
      </c>
      <c r="B1048">
        <v>2108.3000000000002</v>
      </c>
      <c r="C1048">
        <v>1451</v>
      </c>
      <c r="D1048">
        <v>1367</v>
      </c>
      <c r="E1048" t="s">
        <v>66</v>
      </c>
      <c r="F1048" t="b">
        <v>0</v>
      </c>
      <c r="G1048" t="b">
        <v>0</v>
      </c>
      <c r="H1048">
        <v>1</v>
      </c>
      <c r="I1048">
        <v>4.74</v>
      </c>
      <c r="J1048" t="s">
        <v>159</v>
      </c>
      <c r="K1048" t="s">
        <v>159</v>
      </c>
      <c r="L1048" t="s">
        <v>159</v>
      </c>
      <c r="M1048" t="s">
        <v>159</v>
      </c>
      <c r="N1048" t="s">
        <v>159</v>
      </c>
      <c r="O1048" t="s">
        <v>159</v>
      </c>
      <c r="P1048" t="s">
        <v>159</v>
      </c>
      <c r="Q1048" t="s">
        <v>159</v>
      </c>
    </row>
    <row r="1049" spans="1:17">
      <c r="A1049">
        <v>2136.8000000000002</v>
      </c>
      <c r="B1049">
        <v>2110.3000000000002</v>
      </c>
      <c r="C1049">
        <v>1452</v>
      </c>
      <c r="D1049">
        <v>1368</v>
      </c>
      <c r="E1049" t="s">
        <v>66</v>
      </c>
      <c r="F1049" t="b">
        <v>0</v>
      </c>
      <c r="G1049" t="b">
        <v>0</v>
      </c>
      <c r="H1049">
        <v>2</v>
      </c>
      <c r="I1049">
        <v>4.74</v>
      </c>
      <c r="J1049" t="s">
        <v>159</v>
      </c>
      <c r="K1049" t="s">
        <v>159</v>
      </c>
      <c r="L1049" t="s">
        <v>159</v>
      </c>
      <c r="M1049" t="s">
        <v>159</v>
      </c>
      <c r="N1049" t="s">
        <v>159</v>
      </c>
      <c r="O1049" t="s">
        <v>159</v>
      </c>
      <c r="P1049" t="s">
        <v>159</v>
      </c>
      <c r="Q1049" t="s">
        <v>159</v>
      </c>
    </row>
    <row r="1050" spans="1:17">
      <c r="A1050">
        <v>2139.1999999999998</v>
      </c>
      <c r="B1050">
        <v>2112.6999999999998</v>
      </c>
      <c r="C1050">
        <v>1454</v>
      </c>
      <c r="D1050">
        <v>1369</v>
      </c>
      <c r="E1050" t="s">
        <v>66</v>
      </c>
      <c r="F1050" t="b">
        <v>0</v>
      </c>
      <c r="G1050" t="b">
        <v>0</v>
      </c>
      <c r="H1050">
        <v>2.4</v>
      </c>
      <c r="I1050">
        <v>4.74</v>
      </c>
      <c r="J1050" t="s">
        <v>159</v>
      </c>
      <c r="K1050" t="s">
        <v>159</v>
      </c>
      <c r="L1050" t="s">
        <v>159</v>
      </c>
      <c r="M1050" t="s">
        <v>159</v>
      </c>
      <c r="N1050" t="s">
        <v>159</v>
      </c>
      <c r="O1050" t="s">
        <v>159</v>
      </c>
      <c r="P1050" t="s">
        <v>159</v>
      </c>
      <c r="Q1050" t="s">
        <v>159</v>
      </c>
    </row>
    <row r="1051" spans="1:17">
      <c r="A1051">
        <v>2140.6</v>
      </c>
      <c r="B1051">
        <v>2114.1</v>
      </c>
      <c r="C1051">
        <v>1455</v>
      </c>
      <c r="D1051">
        <v>1370</v>
      </c>
      <c r="E1051" t="s">
        <v>66</v>
      </c>
      <c r="F1051" t="b">
        <v>0</v>
      </c>
      <c r="G1051" t="b">
        <v>0</v>
      </c>
      <c r="H1051">
        <v>1.4</v>
      </c>
      <c r="I1051" t="s">
        <v>159</v>
      </c>
      <c r="J1051" t="s">
        <v>159</v>
      </c>
      <c r="K1051" t="s">
        <v>159</v>
      </c>
      <c r="L1051" t="s">
        <v>159</v>
      </c>
      <c r="M1051" t="s">
        <v>159</v>
      </c>
      <c r="N1051" t="s">
        <v>159</v>
      </c>
      <c r="O1051" t="s">
        <v>159</v>
      </c>
      <c r="P1051" t="s">
        <v>159</v>
      </c>
      <c r="Q1051" t="s">
        <v>159</v>
      </c>
    </row>
    <row r="1052" spans="1:17">
      <c r="A1052">
        <v>2142</v>
      </c>
      <c r="B1052">
        <v>2115.5</v>
      </c>
      <c r="C1052">
        <v>1456</v>
      </c>
      <c r="D1052">
        <v>1371</v>
      </c>
      <c r="E1052" t="s">
        <v>66</v>
      </c>
      <c r="F1052" t="b">
        <v>0</v>
      </c>
      <c r="G1052" t="b">
        <v>0</v>
      </c>
      <c r="H1052">
        <v>1.4</v>
      </c>
      <c r="I1052" t="s">
        <v>159</v>
      </c>
      <c r="J1052" t="s">
        <v>159</v>
      </c>
      <c r="K1052" t="s">
        <v>159</v>
      </c>
      <c r="L1052" t="s">
        <v>159</v>
      </c>
      <c r="M1052" t="s">
        <v>159</v>
      </c>
      <c r="N1052" t="s">
        <v>159</v>
      </c>
      <c r="O1052" t="s">
        <v>159</v>
      </c>
      <c r="P1052" t="s">
        <v>159</v>
      </c>
      <c r="Q1052" t="s">
        <v>159</v>
      </c>
    </row>
    <row r="1053" spans="1:17">
      <c r="A1053">
        <v>2143.1999999999998</v>
      </c>
      <c r="B1053">
        <v>2116.6999999999998</v>
      </c>
      <c r="C1053">
        <v>1457</v>
      </c>
      <c r="D1053">
        <v>1372</v>
      </c>
      <c r="E1053" t="s">
        <v>66</v>
      </c>
      <c r="F1053" t="b">
        <v>0</v>
      </c>
      <c r="G1053" t="b">
        <v>0</v>
      </c>
      <c r="H1053">
        <v>1.1000000000000001</v>
      </c>
      <c r="I1053" t="s">
        <v>159</v>
      </c>
      <c r="J1053" t="s">
        <v>159</v>
      </c>
      <c r="K1053" t="s">
        <v>159</v>
      </c>
      <c r="L1053" t="s">
        <v>159</v>
      </c>
      <c r="M1053" t="s">
        <v>159</v>
      </c>
      <c r="N1053" t="s">
        <v>159</v>
      </c>
      <c r="O1053" t="s">
        <v>159</v>
      </c>
      <c r="P1053" t="s">
        <v>159</v>
      </c>
      <c r="Q1053" t="s">
        <v>159</v>
      </c>
    </row>
    <row r="1054" spans="1:17">
      <c r="A1054">
        <v>2144.8000000000002</v>
      </c>
      <c r="B1054">
        <v>2118.3000000000002</v>
      </c>
      <c r="C1054">
        <v>1458</v>
      </c>
      <c r="D1054">
        <v>1373</v>
      </c>
      <c r="E1054" t="s">
        <v>66</v>
      </c>
      <c r="F1054" t="b">
        <v>0</v>
      </c>
      <c r="G1054" t="b">
        <v>0</v>
      </c>
      <c r="H1054">
        <v>1.6</v>
      </c>
      <c r="I1054" t="s">
        <v>159</v>
      </c>
      <c r="J1054" t="s">
        <v>159</v>
      </c>
      <c r="K1054" t="s">
        <v>159</v>
      </c>
      <c r="L1054" t="s">
        <v>159</v>
      </c>
      <c r="M1054" t="s">
        <v>159</v>
      </c>
      <c r="N1054" t="s">
        <v>159</v>
      </c>
      <c r="O1054" t="s">
        <v>159</v>
      </c>
      <c r="P1054" t="s">
        <v>159</v>
      </c>
      <c r="Q1054" t="s">
        <v>159</v>
      </c>
    </row>
    <row r="1055" spans="1:17">
      <c r="A1055">
        <v>2146.5</v>
      </c>
      <c r="B1055">
        <v>2120</v>
      </c>
      <c r="C1055">
        <v>1459</v>
      </c>
      <c r="D1055">
        <v>1374</v>
      </c>
      <c r="E1055" t="s">
        <v>66</v>
      </c>
      <c r="F1055" t="b">
        <v>0</v>
      </c>
      <c r="G1055" t="b">
        <v>0</v>
      </c>
      <c r="H1055">
        <v>1.7</v>
      </c>
      <c r="I1055" t="s">
        <v>159</v>
      </c>
      <c r="J1055" t="s">
        <v>159</v>
      </c>
      <c r="K1055" t="s">
        <v>159</v>
      </c>
      <c r="L1055" t="s">
        <v>159</v>
      </c>
      <c r="M1055" t="s">
        <v>159</v>
      </c>
      <c r="N1055" t="s">
        <v>159</v>
      </c>
      <c r="O1055" t="s">
        <v>159</v>
      </c>
      <c r="P1055" t="s">
        <v>159</v>
      </c>
      <c r="Q1055" t="s">
        <v>159</v>
      </c>
    </row>
    <row r="1056" spans="1:17">
      <c r="A1056">
        <v>2148</v>
      </c>
      <c r="B1056">
        <v>2121.5</v>
      </c>
      <c r="C1056">
        <v>1460</v>
      </c>
      <c r="D1056">
        <v>1375</v>
      </c>
      <c r="E1056" t="s">
        <v>66</v>
      </c>
      <c r="F1056" t="b">
        <v>0</v>
      </c>
      <c r="G1056" t="b">
        <v>0</v>
      </c>
      <c r="H1056">
        <v>1.6</v>
      </c>
      <c r="I1056" t="s">
        <v>159</v>
      </c>
      <c r="J1056" t="s">
        <v>159</v>
      </c>
      <c r="K1056" t="s">
        <v>159</v>
      </c>
      <c r="L1056" t="s">
        <v>159</v>
      </c>
      <c r="M1056" t="s">
        <v>159</v>
      </c>
      <c r="N1056" t="s">
        <v>159</v>
      </c>
      <c r="O1056" t="s">
        <v>159</v>
      </c>
      <c r="P1056" t="s">
        <v>159</v>
      </c>
      <c r="Q1056" t="s">
        <v>159</v>
      </c>
    </row>
    <row r="1057" spans="1:17">
      <c r="A1057">
        <v>2149.8000000000002</v>
      </c>
      <c r="B1057">
        <v>2123.3000000000002</v>
      </c>
      <c r="C1057">
        <v>1461</v>
      </c>
      <c r="D1057">
        <v>1376</v>
      </c>
      <c r="E1057" t="s">
        <v>66</v>
      </c>
      <c r="F1057" t="b">
        <v>0</v>
      </c>
      <c r="G1057" t="b">
        <v>0</v>
      </c>
      <c r="H1057">
        <v>1.8</v>
      </c>
      <c r="I1057" t="s">
        <v>159</v>
      </c>
      <c r="J1057" t="s">
        <v>159</v>
      </c>
      <c r="K1057" t="s">
        <v>159</v>
      </c>
      <c r="L1057" t="s">
        <v>159</v>
      </c>
      <c r="M1057" t="s">
        <v>159</v>
      </c>
      <c r="N1057" t="s">
        <v>159</v>
      </c>
      <c r="O1057" t="s">
        <v>159</v>
      </c>
      <c r="P1057" t="s">
        <v>159</v>
      </c>
      <c r="Q1057" t="s">
        <v>159</v>
      </c>
    </row>
    <row r="1058" spans="1:17">
      <c r="A1058">
        <v>2151.5</v>
      </c>
      <c r="B1058">
        <v>2125</v>
      </c>
      <c r="C1058">
        <v>1463</v>
      </c>
      <c r="D1058">
        <v>1377</v>
      </c>
      <c r="E1058" t="s">
        <v>66</v>
      </c>
      <c r="F1058" t="b">
        <v>0</v>
      </c>
      <c r="G1058" t="b">
        <v>0</v>
      </c>
      <c r="H1058">
        <v>1.6</v>
      </c>
      <c r="I1058" t="s">
        <v>159</v>
      </c>
      <c r="J1058" t="s">
        <v>159</v>
      </c>
      <c r="K1058" t="s">
        <v>159</v>
      </c>
      <c r="L1058" t="s">
        <v>159</v>
      </c>
      <c r="M1058" t="s">
        <v>159</v>
      </c>
      <c r="N1058" t="s">
        <v>159</v>
      </c>
      <c r="O1058" t="s">
        <v>159</v>
      </c>
      <c r="P1058" t="s">
        <v>159</v>
      </c>
      <c r="Q1058" t="s">
        <v>159</v>
      </c>
    </row>
    <row r="1059" spans="1:17">
      <c r="A1059">
        <v>2153</v>
      </c>
      <c r="B1059">
        <v>2126.5</v>
      </c>
      <c r="C1059">
        <v>1464</v>
      </c>
      <c r="D1059">
        <v>1378</v>
      </c>
      <c r="E1059" t="s">
        <v>66</v>
      </c>
      <c r="F1059" t="b">
        <v>0</v>
      </c>
      <c r="G1059" t="b">
        <v>0</v>
      </c>
      <c r="H1059">
        <v>1.5</v>
      </c>
      <c r="I1059" t="s">
        <v>159</v>
      </c>
      <c r="J1059" t="s">
        <v>159</v>
      </c>
      <c r="K1059" t="s">
        <v>159</v>
      </c>
      <c r="L1059" t="s">
        <v>159</v>
      </c>
      <c r="M1059" t="s">
        <v>159</v>
      </c>
      <c r="N1059" t="s">
        <v>159</v>
      </c>
      <c r="O1059" t="s">
        <v>159</v>
      </c>
      <c r="P1059" t="s">
        <v>159</v>
      </c>
      <c r="Q1059" t="s">
        <v>159</v>
      </c>
    </row>
    <row r="1060" spans="1:17">
      <c r="A1060">
        <v>2154.1</v>
      </c>
      <c r="B1060">
        <v>2127.6</v>
      </c>
      <c r="C1060">
        <v>1465</v>
      </c>
      <c r="D1060">
        <v>1379</v>
      </c>
      <c r="E1060" t="s">
        <v>66</v>
      </c>
      <c r="F1060" t="b">
        <v>0</v>
      </c>
      <c r="G1060" t="b">
        <v>0</v>
      </c>
      <c r="H1060">
        <v>1.1000000000000001</v>
      </c>
      <c r="I1060" t="s">
        <v>159</v>
      </c>
      <c r="J1060" t="s">
        <v>159</v>
      </c>
      <c r="K1060" t="s">
        <v>159</v>
      </c>
      <c r="L1060" t="s">
        <v>159</v>
      </c>
      <c r="M1060" t="s">
        <v>159</v>
      </c>
      <c r="N1060" t="s">
        <v>159</v>
      </c>
      <c r="O1060" t="s">
        <v>159</v>
      </c>
      <c r="P1060" t="s">
        <v>159</v>
      </c>
      <c r="Q1060" t="s">
        <v>159</v>
      </c>
    </row>
    <row r="1061" spans="1:17">
      <c r="A1061">
        <v>2155</v>
      </c>
      <c r="B1061">
        <v>2128.5</v>
      </c>
      <c r="C1061">
        <v>1465</v>
      </c>
      <c r="D1061">
        <v>1380</v>
      </c>
      <c r="E1061" t="s">
        <v>66</v>
      </c>
      <c r="F1061" t="b">
        <v>0</v>
      </c>
      <c r="G1061" t="b">
        <v>0</v>
      </c>
      <c r="H1061">
        <v>0.9</v>
      </c>
      <c r="I1061" t="s">
        <v>159</v>
      </c>
      <c r="J1061">
        <v>0.78</v>
      </c>
      <c r="K1061">
        <v>2.93</v>
      </c>
      <c r="L1061">
        <v>6.44</v>
      </c>
      <c r="M1061">
        <v>12.8</v>
      </c>
      <c r="N1061">
        <v>21.8</v>
      </c>
      <c r="O1061">
        <v>18.91</v>
      </c>
      <c r="P1061">
        <v>80.760000000000005</v>
      </c>
      <c r="Q1061">
        <v>0.34</v>
      </c>
    </row>
    <row r="1062" spans="1:17">
      <c r="A1062">
        <v>2156.5</v>
      </c>
      <c r="B1062">
        <v>2130</v>
      </c>
      <c r="C1062">
        <v>1466</v>
      </c>
      <c r="D1062">
        <v>1381</v>
      </c>
      <c r="E1062" t="s">
        <v>66</v>
      </c>
      <c r="F1062" t="b">
        <v>0</v>
      </c>
      <c r="G1062" t="b">
        <v>0</v>
      </c>
      <c r="H1062">
        <v>1.5</v>
      </c>
      <c r="I1062" t="s">
        <v>159</v>
      </c>
      <c r="J1062">
        <v>0.78</v>
      </c>
      <c r="K1062">
        <v>2.93</v>
      </c>
      <c r="L1062">
        <v>6.44</v>
      </c>
      <c r="M1062">
        <v>12.8</v>
      </c>
      <c r="N1062">
        <v>21.8</v>
      </c>
      <c r="O1062">
        <v>18.91</v>
      </c>
      <c r="P1062">
        <v>80.760000000000005</v>
      </c>
      <c r="Q1062">
        <v>0.34</v>
      </c>
    </row>
    <row r="1063" spans="1:17">
      <c r="A1063">
        <v>2157.4</v>
      </c>
      <c r="B1063">
        <v>2130.9</v>
      </c>
      <c r="C1063">
        <v>1467</v>
      </c>
      <c r="D1063">
        <v>1382</v>
      </c>
      <c r="E1063" t="s">
        <v>66</v>
      </c>
      <c r="F1063" t="b">
        <v>0</v>
      </c>
      <c r="G1063" t="b">
        <v>0</v>
      </c>
      <c r="H1063">
        <v>0.9</v>
      </c>
      <c r="I1063" t="s">
        <v>159</v>
      </c>
      <c r="J1063">
        <v>0.78</v>
      </c>
      <c r="K1063">
        <v>2.93</v>
      </c>
      <c r="L1063">
        <v>6.44</v>
      </c>
      <c r="M1063">
        <v>12.8</v>
      </c>
      <c r="N1063">
        <v>21.8</v>
      </c>
      <c r="O1063">
        <v>18.91</v>
      </c>
      <c r="P1063">
        <v>80.760000000000005</v>
      </c>
      <c r="Q1063">
        <v>0.34</v>
      </c>
    </row>
    <row r="1064" spans="1:17">
      <c r="A1064">
        <v>2158.6999999999998</v>
      </c>
      <c r="B1064">
        <v>2132.1999999999998</v>
      </c>
      <c r="C1064">
        <v>1468</v>
      </c>
      <c r="D1064">
        <v>1383</v>
      </c>
      <c r="E1064" t="s">
        <v>66</v>
      </c>
      <c r="F1064" t="b">
        <v>0</v>
      </c>
      <c r="G1064" t="b">
        <v>0</v>
      </c>
      <c r="H1064">
        <v>1.3</v>
      </c>
      <c r="I1064" t="s">
        <v>159</v>
      </c>
      <c r="J1064">
        <v>0.78</v>
      </c>
      <c r="K1064">
        <v>2.93</v>
      </c>
      <c r="L1064">
        <v>6.44</v>
      </c>
      <c r="M1064">
        <v>12.8</v>
      </c>
      <c r="N1064">
        <v>21.8</v>
      </c>
      <c r="O1064">
        <v>18.91</v>
      </c>
      <c r="P1064">
        <v>80.760000000000005</v>
      </c>
      <c r="Q1064">
        <v>0.34</v>
      </c>
    </row>
    <row r="1065" spans="1:17">
      <c r="A1065">
        <v>2160.8000000000002</v>
      </c>
      <c r="B1065">
        <v>2134.3000000000002</v>
      </c>
      <c r="C1065">
        <v>1469</v>
      </c>
      <c r="D1065">
        <v>1384</v>
      </c>
      <c r="E1065" t="s">
        <v>66</v>
      </c>
      <c r="F1065" t="b">
        <v>0</v>
      </c>
      <c r="G1065" t="b">
        <v>0</v>
      </c>
      <c r="H1065">
        <v>2.1</v>
      </c>
      <c r="I1065" t="s">
        <v>159</v>
      </c>
      <c r="J1065">
        <v>0.78</v>
      </c>
      <c r="K1065">
        <v>2.93</v>
      </c>
      <c r="L1065">
        <v>6.44</v>
      </c>
      <c r="M1065">
        <v>12.8</v>
      </c>
      <c r="N1065">
        <v>21.8</v>
      </c>
      <c r="O1065">
        <v>18.91</v>
      </c>
      <c r="P1065">
        <v>80.760000000000005</v>
      </c>
      <c r="Q1065">
        <v>0.34</v>
      </c>
    </row>
    <row r="1066" spans="1:17">
      <c r="A1066">
        <v>2162.1</v>
      </c>
      <c r="B1066">
        <v>2135.6</v>
      </c>
      <c r="C1066">
        <v>1470</v>
      </c>
      <c r="D1066">
        <v>1385</v>
      </c>
      <c r="E1066" t="s">
        <v>66</v>
      </c>
      <c r="F1066" t="b">
        <v>0</v>
      </c>
      <c r="G1066" t="b">
        <v>0</v>
      </c>
      <c r="H1066">
        <v>1.3</v>
      </c>
      <c r="I1066" t="s">
        <v>159</v>
      </c>
      <c r="J1066">
        <v>0.78</v>
      </c>
      <c r="K1066">
        <v>2.93</v>
      </c>
      <c r="L1066">
        <v>6.44</v>
      </c>
      <c r="M1066">
        <v>12.8</v>
      </c>
      <c r="N1066">
        <v>21.8</v>
      </c>
      <c r="O1066">
        <v>18.91</v>
      </c>
      <c r="P1066">
        <v>80.760000000000005</v>
      </c>
      <c r="Q1066">
        <v>0.34</v>
      </c>
    </row>
    <row r="1067" spans="1:17">
      <c r="A1067">
        <v>2163.4</v>
      </c>
      <c r="B1067">
        <v>2136.9</v>
      </c>
      <c r="C1067">
        <v>1471</v>
      </c>
      <c r="D1067">
        <v>1386</v>
      </c>
      <c r="E1067" t="s">
        <v>66</v>
      </c>
      <c r="F1067" t="b">
        <v>0</v>
      </c>
      <c r="G1067" t="b">
        <v>0</v>
      </c>
      <c r="H1067">
        <v>1.2</v>
      </c>
      <c r="I1067" t="s">
        <v>159</v>
      </c>
      <c r="J1067">
        <v>0.78</v>
      </c>
      <c r="K1067">
        <v>2.93</v>
      </c>
      <c r="L1067">
        <v>6.44</v>
      </c>
      <c r="M1067">
        <v>12.8</v>
      </c>
      <c r="N1067">
        <v>21.8</v>
      </c>
      <c r="O1067">
        <v>18.91</v>
      </c>
      <c r="P1067">
        <v>80.760000000000005</v>
      </c>
      <c r="Q1067">
        <v>0.34</v>
      </c>
    </row>
    <row r="1068" spans="1:17">
      <c r="A1068">
        <v>2165</v>
      </c>
      <c r="B1068">
        <v>2138.5</v>
      </c>
      <c r="C1068">
        <v>1472</v>
      </c>
      <c r="D1068">
        <v>1387</v>
      </c>
      <c r="E1068" t="s">
        <v>66</v>
      </c>
      <c r="F1068" t="b">
        <v>0</v>
      </c>
      <c r="G1068" t="b">
        <v>0</v>
      </c>
      <c r="H1068">
        <v>1.6</v>
      </c>
      <c r="I1068" t="s">
        <v>159</v>
      </c>
      <c r="J1068">
        <v>0.78</v>
      </c>
      <c r="K1068">
        <v>2.93</v>
      </c>
      <c r="L1068">
        <v>6.44</v>
      </c>
      <c r="M1068">
        <v>12.8</v>
      </c>
      <c r="N1068">
        <v>21.8</v>
      </c>
      <c r="O1068">
        <v>18.91</v>
      </c>
      <c r="P1068">
        <v>80.760000000000005</v>
      </c>
      <c r="Q1068">
        <v>0.34</v>
      </c>
    </row>
    <row r="1069" spans="1:17">
      <c r="A1069">
        <v>2167.4</v>
      </c>
      <c r="B1069">
        <v>2140.9</v>
      </c>
      <c r="C1069">
        <v>1474</v>
      </c>
      <c r="D1069">
        <v>1388</v>
      </c>
      <c r="E1069" t="s">
        <v>66</v>
      </c>
      <c r="F1069" t="b">
        <v>0</v>
      </c>
      <c r="G1069" t="b">
        <v>0</v>
      </c>
      <c r="H1069">
        <v>2.4</v>
      </c>
      <c r="I1069" t="s">
        <v>159</v>
      </c>
      <c r="J1069">
        <v>0.78</v>
      </c>
      <c r="K1069">
        <v>2.93</v>
      </c>
      <c r="L1069">
        <v>6.44</v>
      </c>
      <c r="M1069">
        <v>12.8</v>
      </c>
      <c r="N1069">
        <v>21.8</v>
      </c>
      <c r="O1069">
        <v>18.91</v>
      </c>
      <c r="P1069">
        <v>80.760000000000005</v>
      </c>
      <c r="Q1069">
        <v>0.34</v>
      </c>
    </row>
    <row r="1070" spans="1:17">
      <c r="A1070">
        <v>2168.6</v>
      </c>
      <c r="B1070">
        <v>2142.1</v>
      </c>
      <c r="C1070">
        <v>1475</v>
      </c>
      <c r="D1070">
        <v>1389</v>
      </c>
      <c r="E1070" t="s">
        <v>66</v>
      </c>
      <c r="F1070" t="b">
        <v>0</v>
      </c>
      <c r="G1070" t="b">
        <v>0</v>
      </c>
      <c r="H1070">
        <v>1.2</v>
      </c>
      <c r="I1070" t="s">
        <v>159</v>
      </c>
      <c r="J1070">
        <v>0.78</v>
      </c>
      <c r="K1070">
        <v>2.93</v>
      </c>
      <c r="L1070">
        <v>6.44</v>
      </c>
      <c r="M1070">
        <v>12.8</v>
      </c>
      <c r="N1070">
        <v>21.8</v>
      </c>
      <c r="O1070">
        <v>18.91</v>
      </c>
      <c r="P1070">
        <v>80.760000000000005</v>
      </c>
      <c r="Q1070">
        <v>0.34</v>
      </c>
    </row>
    <row r="1071" spans="1:17">
      <c r="A1071">
        <v>2169.6999999999998</v>
      </c>
      <c r="B1071">
        <v>2143.1999999999998</v>
      </c>
      <c r="C1071">
        <v>1476</v>
      </c>
      <c r="D1071">
        <v>1390</v>
      </c>
      <c r="E1071" t="s">
        <v>66</v>
      </c>
      <c r="F1071" t="b">
        <v>0</v>
      </c>
      <c r="G1071" t="b">
        <v>0</v>
      </c>
      <c r="H1071">
        <v>1.1000000000000001</v>
      </c>
      <c r="I1071">
        <v>5.2050000000000001</v>
      </c>
      <c r="J1071">
        <v>0.78</v>
      </c>
      <c r="K1071">
        <v>2.93</v>
      </c>
      <c r="L1071">
        <v>6.44</v>
      </c>
      <c r="M1071">
        <v>12.8</v>
      </c>
      <c r="N1071">
        <v>21.8</v>
      </c>
      <c r="O1071">
        <v>18.91</v>
      </c>
      <c r="P1071">
        <v>80.760000000000005</v>
      </c>
      <c r="Q1071">
        <v>0.34</v>
      </c>
    </row>
    <row r="1072" spans="1:17">
      <c r="A1072">
        <v>2172.4</v>
      </c>
      <c r="B1072">
        <v>2145.9</v>
      </c>
      <c r="C1072">
        <v>1478</v>
      </c>
      <c r="D1072">
        <v>1391</v>
      </c>
      <c r="E1072" t="s">
        <v>66</v>
      </c>
      <c r="F1072" t="b">
        <v>0</v>
      </c>
      <c r="G1072" t="b">
        <v>0</v>
      </c>
      <c r="H1072">
        <v>2.7</v>
      </c>
      <c r="I1072">
        <v>5.2050000000000001</v>
      </c>
      <c r="J1072">
        <v>0.78</v>
      </c>
      <c r="K1072">
        <v>2.93</v>
      </c>
      <c r="L1072">
        <v>6.44</v>
      </c>
      <c r="M1072">
        <v>12.8</v>
      </c>
      <c r="N1072">
        <v>21.8</v>
      </c>
      <c r="O1072">
        <v>18.91</v>
      </c>
      <c r="P1072">
        <v>80.760000000000005</v>
      </c>
      <c r="Q1072">
        <v>0.34</v>
      </c>
    </row>
    <row r="1073" spans="1:17">
      <c r="A1073">
        <v>2173.6999999999998</v>
      </c>
      <c r="B1073">
        <v>2147.1999999999998</v>
      </c>
      <c r="C1073">
        <v>1479</v>
      </c>
      <c r="D1073">
        <v>1392</v>
      </c>
      <c r="E1073" t="s">
        <v>66</v>
      </c>
      <c r="F1073" t="b">
        <v>0</v>
      </c>
      <c r="G1073" t="b">
        <v>0</v>
      </c>
      <c r="H1073">
        <v>1.4</v>
      </c>
      <c r="I1073">
        <v>5.2050000000000001</v>
      </c>
      <c r="J1073">
        <v>0.78</v>
      </c>
      <c r="K1073">
        <v>2.93</v>
      </c>
      <c r="L1073">
        <v>6.44</v>
      </c>
      <c r="M1073">
        <v>12.8</v>
      </c>
      <c r="N1073">
        <v>21.8</v>
      </c>
      <c r="O1073">
        <v>18.91</v>
      </c>
      <c r="P1073">
        <v>80.760000000000005</v>
      </c>
      <c r="Q1073">
        <v>0.34</v>
      </c>
    </row>
    <row r="1074" spans="1:17">
      <c r="A1074">
        <v>2174.9</v>
      </c>
      <c r="B1074">
        <v>2148.4</v>
      </c>
      <c r="C1074">
        <v>1480</v>
      </c>
      <c r="D1074">
        <v>1393</v>
      </c>
      <c r="E1074" t="s">
        <v>66</v>
      </c>
      <c r="F1074" t="b">
        <v>0</v>
      </c>
      <c r="G1074" t="b">
        <v>0</v>
      </c>
      <c r="H1074">
        <v>1.1000000000000001</v>
      </c>
      <c r="I1074">
        <v>5.2050000000000001</v>
      </c>
      <c r="J1074">
        <v>0.78</v>
      </c>
      <c r="K1074">
        <v>2.93</v>
      </c>
      <c r="L1074">
        <v>6.44</v>
      </c>
      <c r="M1074">
        <v>12.8</v>
      </c>
      <c r="N1074">
        <v>21.8</v>
      </c>
      <c r="O1074">
        <v>18.91</v>
      </c>
      <c r="P1074">
        <v>80.760000000000005</v>
      </c>
      <c r="Q1074">
        <v>0.34</v>
      </c>
    </row>
    <row r="1075" spans="1:17">
      <c r="A1075">
        <v>2175.6999999999998</v>
      </c>
      <c r="B1075">
        <v>2149.1999999999998</v>
      </c>
      <c r="C1075">
        <v>1480</v>
      </c>
      <c r="D1075">
        <v>1394</v>
      </c>
      <c r="E1075" t="s">
        <v>66</v>
      </c>
      <c r="F1075" t="b">
        <v>0</v>
      </c>
      <c r="G1075" t="b">
        <v>0</v>
      </c>
      <c r="H1075">
        <v>0.9</v>
      </c>
      <c r="I1075">
        <v>5.2050000000000001</v>
      </c>
      <c r="J1075" t="s">
        <v>159</v>
      </c>
      <c r="K1075" t="s">
        <v>159</v>
      </c>
      <c r="L1075" t="s">
        <v>159</v>
      </c>
      <c r="M1075" t="s">
        <v>159</v>
      </c>
      <c r="N1075" t="s">
        <v>159</v>
      </c>
      <c r="O1075" t="s">
        <v>159</v>
      </c>
      <c r="P1075" t="s">
        <v>159</v>
      </c>
      <c r="Q1075" t="s">
        <v>159</v>
      </c>
    </row>
    <row r="1076" spans="1:17">
      <c r="A1076">
        <v>2176.6</v>
      </c>
      <c r="B1076">
        <v>2150.1</v>
      </c>
      <c r="C1076">
        <v>1481</v>
      </c>
      <c r="D1076">
        <v>1395</v>
      </c>
      <c r="E1076" t="s">
        <v>66</v>
      </c>
      <c r="F1076" t="b">
        <v>0</v>
      </c>
      <c r="G1076" t="b">
        <v>0</v>
      </c>
      <c r="H1076">
        <v>0.9</v>
      </c>
      <c r="I1076">
        <v>5.2050000000000001</v>
      </c>
      <c r="J1076" t="s">
        <v>159</v>
      </c>
      <c r="K1076" t="s">
        <v>159</v>
      </c>
      <c r="L1076" t="s">
        <v>159</v>
      </c>
      <c r="M1076" t="s">
        <v>159</v>
      </c>
      <c r="N1076" t="s">
        <v>159</v>
      </c>
      <c r="O1076" t="s">
        <v>159</v>
      </c>
      <c r="P1076" t="s">
        <v>159</v>
      </c>
      <c r="Q1076" t="s">
        <v>159</v>
      </c>
    </row>
    <row r="1077" spans="1:17">
      <c r="A1077">
        <v>2177.8000000000002</v>
      </c>
      <c r="B1077">
        <v>2151.3000000000002</v>
      </c>
      <c r="C1077">
        <v>1482</v>
      </c>
      <c r="D1077">
        <v>1396</v>
      </c>
      <c r="E1077" t="s">
        <v>66</v>
      </c>
      <c r="F1077" t="b">
        <v>0</v>
      </c>
      <c r="G1077" t="b">
        <v>0</v>
      </c>
      <c r="H1077">
        <v>1.2</v>
      </c>
      <c r="I1077">
        <v>5.2050000000000001</v>
      </c>
      <c r="J1077" t="s">
        <v>159</v>
      </c>
      <c r="K1077" t="s">
        <v>159</v>
      </c>
      <c r="L1077" t="s">
        <v>159</v>
      </c>
      <c r="M1077" t="s">
        <v>159</v>
      </c>
      <c r="N1077" t="s">
        <v>159</v>
      </c>
      <c r="O1077" t="s">
        <v>159</v>
      </c>
      <c r="P1077" t="s">
        <v>159</v>
      </c>
      <c r="Q1077" t="s">
        <v>159</v>
      </c>
    </row>
    <row r="1078" spans="1:17">
      <c r="A1078">
        <v>2179.6</v>
      </c>
      <c r="B1078">
        <v>2153.1</v>
      </c>
      <c r="C1078">
        <v>1483</v>
      </c>
      <c r="D1078">
        <v>1397</v>
      </c>
      <c r="E1078" t="s">
        <v>66</v>
      </c>
      <c r="F1078" t="b">
        <v>0</v>
      </c>
      <c r="G1078" t="b">
        <v>0</v>
      </c>
      <c r="H1078">
        <v>1.8</v>
      </c>
      <c r="I1078">
        <v>5.2050000000000001</v>
      </c>
      <c r="J1078" t="s">
        <v>159</v>
      </c>
      <c r="K1078" t="s">
        <v>159</v>
      </c>
      <c r="L1078" t="s">
        <v>159</v>
      </c>
      <c r="M1078" t="s">
        <v>159</v>
      </c>
      <c r="N1078" t="s">
        <v>159</v>
      </c>
      <c r="O1078" t="s">
        <v>159</v>
      </c>
      <c r="P1078" t="s">
        <v>159</v>
      </c>
      <c r="Q1078" t="s">
        <v>159</v>
      </c>
    </row>
    <row r="1079" spans="1:17">
      <c r="A1079">
        <v>2181.3000000000002</v>
      </c>
      <c r="B1079">
        <v>2154.8000000000002</v>
      </c>
      <c r="C1079">
        <v>1484</v>
      </c>
      <c r="D1079">
        <v>1398</v>
      </c>
      <c r="E1079" t="s">
        <v>66</v>
      </c>
      <c r="F1079" t="b">
        <v>0</v>
      </c>
      <c r="G1079" t="b">
        <v>0</v>
      </c>
      <c r="H1079">
        <v>1.8</v>
      </c>
      <c r="I1079">
        <v>5.2050000000000001</v>
      </c>
      <c r="J1079" t="s">
        <v>159</v>
      </c>
      <c r="K1079" t="s">
        <v>159</v>
      </c>
      <c r="L1079" t="s">
        <v>159</v>
      </c>
      <c r="M1079" t="s">
        <v>159</v>
      </c>
      <c r="N1079" t="s">
        <v>159</v>
      </c>
      <c r="O1079" t="s">
        <v>159</v>
      </c>
      <c r="P1079" t="s">
        <v>159</v>
      </c>
      <c r="Q1079" t="s">
        <v>159</v>
      </c>
    </row>
    <row r="1080" spans="1:17">
      <c r="A1080">
        <v>2183.8000000000002</v>
      </c>
      <c r="B1080">
        <v>2157.3000000000002</v>
      </c>
      <c r="C1080">
        <v>1486</v>
      </c>
      <c r="D1080">
        <v>1399</v>
      </c>
      <c r="E1080" t="s">
        <v>66</v>
      </c>
      <c r="F1080" t="b">
        <v>0</v>
      </c>
      <c r="G1080" t="b">
        <v>0</v>
      </c>
      <c r="H1080">
        <v>2.5</v>
      </c>
      <c r="I1080">
        <v>5.2050000000000001</v>
      </c>
      <c r="J1080" t="s">
        <v>159</v>
      </c>
      <c r="K1080" t="s">
        <v>159</v>
      </c>
      <c r="L1080" t="s">
        <v>159</v>
      </c>
      <c r="M1080" t="s">
        <v>159</v>
      </c>
      <c r="N1080" t="s">
        <v>159</v>
      </c>
      <c r="O1080" t="s">
        <v>159</v>
      </c>
      <c r="P1080" t="s">
        <v>159</v>
      </c>
      <c r="Q1080" t="s">
        <v>159</v>
      </c>
    </row>
    <row r="1081" spans="1:17">
      <c r="A1081">
        <v>2184.8000000000002</v>
      </c>
      <c r="B1081">
        <v>2158.3000000000002</v>
      </c>
      <c r="C1081">
        <v>1487</v>
      </c>
      <c r="D1081">
        <v>1400</v>
      </c>
      <c r="E1081" t="s">
        <v>66</v>
      </c>
      <c r="F1081" t="b">
        <v>0</v>
      </c>
      <c r="G1081" t="b">
        <v>0</v>
      </c>
      <c r="H1081">
        <v>1</v>
      </c>
      <c r="I1081">
        <v>5.2050000000000001</v>
      </c>
      <c r="J1081" t="s">
        <v>159</v>
      </c>
      <c r="K1081" t="s">
        <v>159</v>
      </c>
      <c r="L1081" t="s">
        <v>159</v>
      </c>
      <c r="M1081" t="s">
        <v>159</v>
      </c>
      <c r="N1081" t="s">
        <v>159</v>
      </c>
      <c r="O1081" t="s">
        <v>159</v>
      </c>
      <c r="P1081" t="s">
        <v>159</v>
      </c>
      <c r="Q1081" t="s">
        <v>159</v>
      </c>
    </row>
    <row r="1082" spans="1:17">
      <c r="A1082">
        <v>2186.1999999999998</v>
      </c>
      <c r="B1082">
        <v>2159.6999999999998</v>
      </c>
      <c r="C1082">
        <v>1488</v>
      </c>
      <c r="D1082">
        <v>1401</v>
      </c>
      <c r="E1082" t="s">
        <v>66</v>
      </c>
      <c r="F1082" t="b">
        <v>0</v>
      </c>
      <c r="G1082" t="b">
        <v>0</v>
      </c>
      <c r="H1082">
        <v>1.4</v>
      </c>
      <c r="I1082">
        <v>5.2050000000000001</v>
      </c>
      <c r="J1082" t="s">
        <v>159</v>
      </c>
      <c r="K1082" t="s">
        <v>159</v>
      </c>
      <c r="L1082" t="s">
        <v>159</v>
      </c>
      <c r="M1082" t="s">
        <v>159</v>
      </c>
      <c r="N1082" t="s">
        <v>159</v>
      </c>
      <c r="O1082" t="s">
        <v>159</v>
      </c>
      <c r="P1082" t="s">
        <v>159</v>
      </c>
      <c r="Q1082" t="s">
        <v>159</v>
      </c>
    </row>
    <row r="1083" spans="1:17">
      <c r="A1083">
        <v>2187.8000000000002</v>
      </c>
      <c r="B1083">
        <v>2161.3000000000002</v>
      </c>
      <c r="C1083">
        <v>1489</v>
      </c>
      <c r="D1083">
        <v>1402</v>
      </c>
      <c r="E1083" t="s">
        <v>66</v>
      </c>
      <c r="F1083" t="b">
        <v>0</v>
      </c>
      <c r="G1083" t="b">
        <v>0</v>
      </c>
      <c r="H1083">
        <v>1.6</v>
      </c>
      <c r="I1083">
        <v>5.2050000000000001</v>
      </c>
      <c r="J1083" t="s">
        <v>159</v>
      </c>
      <c r="K1083" t="s">
        <v>159</v>
      </c>
      <c r="L1083" t="s">
        <v>159</v>
      </c>
      <c r="M1083" t="s">
        <v>159</v>
      </c>
      <c r="N1083" t="s">
        <v>159</v>
      </c>
      <c r="O1083" t="s">
        <v>159</v>
      </c>
      <c r="P1083" t="s">
        <v>159</v>
      </c>
      <c r="Q1083" t="s">
        <v>159</v>
      </c>
    </row>
    <row r="1084" spans="1:17">
      <c r="A1084">
        <v>2188.9</v>
      </c>
      <c r="B1084">
        <v>2162.4</v>
      </c>
      <c r="C1084">
        <v>1490</v>
      </c>
      <c r="D1084">
        <v>1403</v>
      </c>
      <c r="E1084" t="s">
        <v>66</v>
      </c>
      <c r="F1084" t="b">
        <v>0</v>
      </c>
      <c r="G1084" t="b">
        <v>0</v>
      </c>
      <c r="H1084">
        <v>1.1000000000000001</v>
      </c>
      <c r="I1084">
        <v>5.2050000000000001</v>
      </c>
      <c r="J1084" t="s">
        <v>159</v>
      </c>
      <c r="K1084" t="s">
        <v>159</v>
      </c>
      <c r="L1084" t="s">
        <v>159</v>
      </c>
      <c r="M1084" t="s">
        <v>159</v>
      </c>
      <c r="N1084" t="s">
        <v>159</v>
      </c>
      <c r="O1084" t="s">
        <v>159</v>
      </c>
      <c r="P1084" t="s">
        <v>159</v>
      </c>
      <c r="Q1084" t="s">
        <v>159</v>
      </c>
    </row>
    <row r="1085" spans="1:17">
      <c r="A1085">
        <v>2190.1</v>
      </c>
      <c r="B1085">
        <v>2163.6</v>
      </c>
      <c r="C1085">
        <v>1490</v>
      </c>
      <c r="D1085">
        <v>1404</v>
      </c>
      <c r="E1085" t="s">
        <v>66</v>
      </c>
      <c r="F1085" t="b">
        <v>0</v>
      </c>
      <c r="G1085" t="b">
        <v>0</v>
      </c>
      <c r="H1085">
        <v>1.3</v>
      </c>
      <c r="I1085">
        <v>5.2050000000000001</v>
      </c>
      <c r="J1085" t="s">
        <v>159</v>
      </c>
      <c r="K1085" t="s">
        <v>159</v>
      </c>
      <c r="L1085" t="s">
        <v>159</v>
      </c>
      <c r="M1085" t="s">
        <v>159</v>
      </c>
      <c r="N1085" t="s">
        <v>159</v>
      </c>
      <c r="O1085" t="s">
        <v>159</v>
      </c>
      <c r="P1085" t="s">
        <v>159</v>
      </c>
      <c r="Q1085" t="s">
        <v>159</v>
      </c>
    </row>
    <row r="1086" spans="1:17">
      <c r="A1086">
        <v>2191.8000000000002</v>
      </c>
      <c r="B1086">
        <v>2165.3000000000002</v>
      </c>
      <c r="C1086">
        <v>1492</v>
      </c>
      <c r="D1086">
        <v>1405</v>
      </c>
      <c r="E1086" t="s">
        <v>66</v>
      </c>
      <c r="F1086" t="b">
        <v>0</v>
      </c>
      <c r="G1086" t="b">
        <v>0</v>
      </c>
      <c r="H1086">
        <v>1.7</v>
      </c>
      <c r="I1086" t="s">
        <v>159</v>
      </c>
      <c r="J1086" t="s">
        <v>159</v>
      </c>
      <c r="K1086" t="s">
        <v>159</v>
      </c>
      <c r="L1086" t="s">
        <v>159</v>
      </c>
      <c r="M1086" t="s">
        <v>159</v>
      </c>
      <c r="N1086" t="s">
        <v>159</v>
      </c>
      <c r="O1086" t="s">
        <v>159</v>
      </c>
      <c r="P1086" t="s">
        <v>159</v>
      </c>
      <c r="Q1086" t="s">
        <v>159</v>
      </c>
    </row>
    <row r="1087" spans="1:17">
      <c r="A1087">
        <v>2192.8000000000002</v>
      </c>
      <c r="B1087">
        <v>2166.3000000000002</v>
      </c>
      <c r="C1087">
        <v>1492</v>
      </c>
      <c r="D1087">
        <v>1406</v>
      </c>
      <c r="E1087" t="s">
        <v>66</v>
      </c>
      <c r="F1087" t="b">
        <v>0</v>
      </c>
      <c r="G1087" t="b">
        <v>0</v>
      </c>
      <c r="H1087">
        <v>0.9</v>
      </c>
      <c r="I1087" t="s">
        <v>159</v>
      </c>
      <c r="J1087" t="s">
        <v>159</v>
      </c>
      <c r="K1087" t="s">
        <v>159</v>
      </c>
      <c r="L1087" t="s">
        <v>159</v>
      </c>
      <c r="M1087" t="s">
        <v>159</v>
      </c>
      <c r="N1087" t="s">
        <v>159</v>
      </c>
      <c r="O1087" t="s">
        <v>159</v>
      </c>
      <c r="P1087" t="s">
        <v>159</v>
      </c>
      <c r="Q1087" t="s">
        <v>159</v>
      </c>
    </row>
    <row r="1088" spans="1:17">
      <c r="A1088">
        <v>2193.4</v>
      </c>
      <c r="B1088">
        <v>2166.9</v>
      </c>
      <c r="C1088">
        <v>1493</v>
      </c>
      <c r="D1088">
        <v>1407</v>
      </c>
      <c r="E1088" t="s">
        <v>66</v>
      </c>
      <c r="F1088" t="b">
        <v>0</v>
      </c>
      <c r="G1088" t="b">
        <v>0</v>
      </c>
      <c r="H1088">
        <v>0.7</v>
      </c>
      <c r="I1088" t="s">
        <v>159</v>
      </c>
      <c r="J1088" t="s">
        <v>159</v>
      </c>
      <c r="K1088" t="s">
        <v>159</v>
      </c>
      <c r="L1088" t="s">
        <v>159</v>
      </c>
      <c r="M1088" t="s">
        <v>159</v>
      </c>
      <c r="N1088" t="s">
        <v>159</v>
      </c>
      <c r="O1088" t="s">
        <v>159</v>
      </c>
      <c r="P1088" t="s">
        <v>159</v>
      </c>
      <c r="Q1088" t="s">
        <v>159</v>
      </c>
    </row>
    <row r="1089" spans="1:17">
      <c r="A1089">
        <v>2194</v>
      </c>
      <c r="B1089">
        <v>2167.5</v>
      </c>
      <c r="C1089">
        <v>1493</v>
      </c>
      <c r="D1089">
        <v>1408</v>
      </c>
      <c r="E1089" t="s">
        <v>66</v>
      </c>
      <c r="F1089" t="b">
        <v>0</v>
      </c>
      <c r="G1089" t="b">
        <v>0</v>
      </c>
      <c r="H1089">
        <v>0.6</v>
      </c>
      <c r="I1089" t="s">
        <v>159</v>
      </c>
      <c r="J1089" t="s">
        <v>159</v>
      </c>
      <c r="K1089" t="s">
        <v>159</v>
      </c>
      <c r="L1089" t="s">
        <v>159</v>
      </c>
      <c r="M1089" t="s">
        <v>159</v>
      </c>
      <c r="N1089" t="s">
        <v>159</v>
      </c>
      <c r="O1089" t="s">
        <v>159</v>
      </c>
      <c r="P1089" t="s">
        <v>159</v>
      </c>
      <c r="Q1089" t="s">
        <v>159</v>
      </c>
    </row>
    <row r="1090" spans="1:17">
      <c r="A1090">
        <v>2195.4</v>
      </c>
      <c r="B1090">
        <v>2168.9</v>
      </c>
      <c r="C1090">
        <v>1494</v>
      </c>
      <c r="D1090">
        <v>1409</v>
      </c>
      <c r="E1090" t="s">
        <v>66</v>
      </c>
      <c r="F1090" t="b">
        <v>0</v>
      </c>
      <c r="G1090" t="b">
        <v>0</v>
      </c>
      <c r="H1090">
        <v>1.4</v>
      </c>
      <c r="I1090">
        <v>5.1109999999999998</v>
      </c>
      <c r="J1090" t="s">
        <v>159</v>
      </c>
      <c r="K1090" t="s">
        <v>159</v>
      </c>
      <c r="L1090" t="s">
        <v>159</v>
      </c>
      <c r="M1090" t="s">
        <v>159</v>
      </c>
      <c r="N1090" t="s">
        <v>159</v>
      </c>
      <c r="O1090" t="s">
        <v>159</v>
      </c>
      <c r="P1090" t="s">
        <v>159</v>
      </c>
      <c r="Q1090" t="s">
        <v>159</v>
      </c>
    </row>
    <row r="1091" spans="1:17">
      <c r="A1091">
        <v>2196.6</v>
      </c>
      <c r="B1091">
        <v>2170.1</v>
      </c>
      <c r="C1091">
        <v>1495</v>
      </c>
      <c r="D1091">
        <v>1410</v>
      </c>
      <c r="E1091" t="s">
        <v>66</v>
      </c>
      <c r="F1091" t="b">
        <v>0</v>
      </c>
      <c r="G1091" t="b">
        <v>0</v>
      </c>
      <c r="H1091">
        <v>1.2</v>
      </c>
      <c r="I1091">
        <v>5.1109999999999998</v>
      </c>
      <c r="J1091" t="s">
        <v>159</v>
      </c>
      <c r="K1091" t="s">
        <v>159</v>
      </c>
      <c r="L1091" t="s">
        <v>159</v>
      </c>
      <c r="M1091" t="s">
        <v>159</v>
      </c>
      <c r="N1091" t="s">
        <v>159</v>
      </c>
      <c r="O1091" t="s">
        <v>159</v>
      </c>
      <c r="P1091" t="s">
        <v>159</v>
      </c>
      <c r="Q1091" t="s">
        <v>159</v>
      </c>
    </row>
    <row r="1092" spans="1:17">
      <c r="A1092">
        <v>2197.5</v>
      </c>
      <c r="B1092">
        <v>2171</v>
      </c>
      <c r="C1092">
        <v>1496</v>
      </c>
      <c r="D1092">
        <v>1411</v>
      </c>
      <c r="E1092" t="s">
        <v>66</v>
      </c>
      <c r="F1092" t="b">
        <v>0</v>
      </c>
      <c r="G1092" t="b">
        <v>0</v>
      </c>
      <c r="H1092">
        <v>1</v>
      </c>
      <c r="I1092">
        <v>5.1109999999999998</v>
      </c>
      <c r="J1092" t="s">
        <v>159</v>
      </c>
      <c r="K1092" t="s">
        <v>159</v>
      </c>
      <c r="L1092" t="s">
        <v>159</v>
      </c>
      <c r="M1092" t="s">
        <v>159</v>
      </c>
      <c r="N1092" t="s">
        <v>159</v>
      </c>
      <c r="O1092" t="s">
        <v>159</v>
      </c>
      <c r="P1092" t="s">
        <v>159</v>
      </c>
      <c r="Q1092" t="s">
        <v>159</v>
      </c>
    </row>
    <row r="1093" spans="1:17">
      <c r="A1093">
        <v>2198.6</v>
      </c>
      <c r="B1093">
        <v>2172.1</v>
      </c>
      <c r="C1093">
        <v>1497</v>
      </c>
      <c r="D1093">
        <v>1412</v>
      </c>
      <c r="E1093" t="s">
        <v>66</v>
      </c>
      <c r="F1093" t="b">
        <v>0</v>
      </c>
      <c r="G1093" t="b">
        <v>0</v>
      </c>
      <c r="H1093">
        <v>1.1000000000000001</v>
      </c>
      <c r="I1093">
        <v>5.1109999999999998</v>
      </c>
      <c r="J1093" t="s">
        <v>159</v>
      </c>
      <c r="K1093" t="s">
        <v>159</v>
      </c>
      <c r="L1093" t="s">
        <v>159</v>
      </c>
      <c r="M1093" t="s">
        <v>159</v>
      </c>
      <c r="N1093" t="s">
        <v>159</v>
      </c>
      <c r="O1093" t="s">
        <v>159</v>
      </c>
      <c r="P1093" t="s">
        <v>159</v>
      </c>
      <c r="Q1093" t="s">
        <v>159</v>
      </c>
    </row>
    <row r="1094" spans="1:17">
      <c r="A1094">
        <v>2200.6</v>
      </c>
      <c r="B1094">
        <v>2174.1</v>
      </c>
      <c r="C1094">
        <v>1498</v>
      </c>
      <c r="D1094">
        <v>1413</v>
      </c>
      <c r="E1094" t="s">
        <v>66</v>
      </c>
      <c r="F1094" t="b">
        <v>0</v>
      </c>
      <c r="G1094" t="b">
        <v>0</v>
      </c>
      <c r="H1094">
        <v>1.9</v>
      </c>
      <c r="I1094">
        <v>5.1109999999999998</v>
      </c>
      <c r="J1094" t="s">
        <v>159</v>
      </c>
      <c r="K1094" t="s">
        <v>159</v>
      </c>
      <c r="L1094" t="s">
        <v>159</v>
      </c>
      <c r="M1094" t="s">
        <v>159</v>
      </c>
      <c r="N1094" t="s">
        <v>159</v>
      </c>
      <c r="O1094" t="s">
        <v>159</v>
      </c>
      <c r="P1094" t="s">
        <v>159</v>
      </c>
      <c r="Q1094" t="s">
        <v>159</v>
      </c>
    </row>
    <row r="1095" spans="1:17">
      <c r="A1095">
        <v>2202.9</v>
      </c>
      <c r="B1095">
        <v>2176.4</v>
      </c>
      <c r="C1095">
        <v>1500</v>
      </c>
      <c r="D1095">
        <v>1414</v>
      </c>
      <c r="E1095" t="s">
        <v>66</v>
      </c>
      <c r="F1095" t="b">
        <v>0</v>
      </c>
      <c r="G1095" t="b">
        <v>0</v>
      </c>
      <c r="H1095">
        <v>2.2999999999999998</v>
      </c>
      <c r="I1095">
        <v>5.1109999999999998</v>
      </c>
      <c r="J1095" t="s">
        <v>159</v>
      </c>
      <c r="K1095" t="s">
        <v>159</v>
      </c>
      <c r="L1095" t="s">
        <v>159</v>
      </c>
      <c r="M1095" t="s">
        <v>159</v>
      </c>
      <c r="N1095" t="s">
        <v>159</v>
      </c>
      <c r="O1095" t="s">
        <v>159</v>
      </c>
      <c r="P1095" t="s">
        <v>159</v>
      </c>
      <c r="Q1095" t="s">
        <v>159</v>
      </c>
    </row>
    <row r="1096" spans="1:17">
      <c r="A1096">
        <v>2204.1</v>
      </c>
      <c r="B1096">
        <v>2177.6</v>
      </c>
      <c r="C1096">
        <v>1501</v>
      </c>
      <c r="D1096">
        <v>1415</v>
      </c>
      <c r="E1096" t="s">
        <v>66</v>
      </c>
      <c r="F1096" t="b">
        <v>0</v>
      </c>
      <c r="G1096" t="b">
        <v>0</v>
      </c>
      <c r="H1096">
        <v>1.2</v>
      </c>
      <c r="I1096">
        <v>5.1109999999999998</v>
      </c>
      <c r="J1096" t="s">
        <v>159</v>
      </c>
      <c r="K1096" t="s">
        <v>159</v>
      </c>
      <c r="L1096" t="s">
        <v>159</v>
      </c>
      <c r="M1096" t="s">
        <v>159</v>
      </c>
      <c r="N1096" t="s">
        <v>159</v>
      </c>
      <c r="O1096" t="s">
        <v>159</v>
      </c>
      <c r="P1096" t="s">
        <v>159</v>
      </c>
      <c r="Q1096" t="s">
        <v>159</v>
      </c>
    </row>
    <row r="1097" spans="1:17">
      <c r="A1097">
        <v>2205.4</v>
      </c>
      <c r="B1097">
        <v>2178.9</v>
      </c>
      <c r="C1097">
        <v>1501</v>
      </c>
      <c r="D1097">
        <v>1416</v>
      </c>
      <c r="E1097" t="s">
        <v>66</v>
      </c>
      <c r="F1097" t="b">
        <v>0</v>
      </c>
      <c r="G1097" t="b">
        <v>0</v>
      </c>
      <c r="H1097">
        <v>1.3</v>
      </c>
      <c r="I1097">
        <v>5.1109999999999998</v>
      </c>
      <c r="J1097" t="s">
        <v>159</v>
      </c>
      <c r="K1097" t="s">
        <v>159</v>
      </c>
      <c r="L1097" t="s">
        <v>159</v>
      </c>
      <c r="M1097" t="s">
        <v>159</v>
      </c>
      <c r="N1097" t="s">
        <v>159</v>
      </c>
      <c r="O1097" t="s">
        <v>159</v>
      </c>
      <c r="P1097" t="s">
        <v>159</v>
      </c>
      <c r="Q1097" t="s">
        <v>159</v>
      </c>
    </row>
    <row r="1098" spans="1:17">
      <c r="A1098">
        <v>2206.5</v>
      </c>
      <c r="B1098">
        <v>2180</v>
      </c>
      <c r="C1098">
        <v>1502</v>
      </c>
      <c r="D1098">
        <v>1417</v>
      </c>
      <c r="E1098" t="s">
        <v>66</v>
      </c>
      <c r="F1098" t="b">
        <v>0</v>
      </c>
      <c r="G1098" t="b">
        <v>0</v>
      </c>
      <c r="H1098">
        <v>1.2</v>
      </c>
      <c r="I1098">
        <v>5.1109999999999998</v>
      </c>
      <c r="J1098" t="s">
        <v>159</v>
      </c>
      <c r="K1098" t="s">
        <v>159</v>
      </c>
      <c r="L1098" t="s">
        <v>159</v>
      </c>
      <c r="M1098" t="s">
        <v>159</v>
      </c>
      <c r="N1098" t="s">
        <v>159</v>
      </c>
      <c r="O1098" t="s">
        <v>159</v>
      </c>
      <c r="P1098" t="s">
        <v>159</v>
      </c>
      <c r="Q1098" t="s">
        <v>159</v>
      </c>
    </row>
    <row r="1099" spans="1:17">
      <c r="A1099">
        <v>2207.3000000000002</v>
      </c>
      <c r="B1099">
        <v>2180.8000000000002</v>
      </c>
      <c r="C1099">
        <v>1503</v>
      </c>
      <c r="D1099">
        <v>1418</v>
      </c>
      <c r="E1099" t="s">
        <v>66</v>
      </c>
      <c r="F1099" t="b">
        <v>0</v>
      </c>
      <c r="G1099" t="b">
        <v>0</v>
      </c>
      <c r="H1099">
        <v>0.8</v>
      </c>
      <c r="I1099">
        <v>5.1109999999999998</v>
      </c>
      <c r="J1099" t="s">
        <v>159</v>
      </c>
      <c r="K1099" t="s">
        <v>159</v>
      </c>
      <c r="L1099" t="s">
        <v>159</v>
      </c>
      <c r="M1099" t="s">
        <v>159</v>
      </c>
      <c r="N1099" t="s">
        <v>159</v>
      </c>
      <c r="O1099" t="s">
        <v>159</v>
      </c>
      <c r="P1099" t="s">
        <v>159</v>
      </c>
      <c r="Q1099" t="s">
        <v>159</v>
      </c>
    </row>
    <row r="1100" spans="1:17">
      <c r="A1100">
        <v>2208.8000000000002</v>
      </c>
      <c r="B1100">
        <v>2182.3000000000002</v>
      </c>
      <c r="C1100">
        <v>1504</v>
      </c>
      <c r="D1100">
        <v>1419</v>
      </c>
      <c r="E1100" t="s">
        <v>66</v>
      </c>
      <c r="F1100" t="b">
        <v>0</v>
      </c>
      <c r="G1100" t="b">
        <v>0</v>
      </c>
      <c r="H1100">
        <v>1.5</v>
      </c>
      <c r="I1100">
        <v>5.1109999999999998</v>
      </c>
      <c r="J1100" t="s">
        <v>159</v>
      </c>
      <c r="K1100" t="s">
        <v>159</v>
      </c>
      <c r="L1100" t="s">
        <v>159</v>
      </c>
      <c r="M1100" t="s">
        <v>159</v>
      </c>
      <c r="N1100" t="s">
        <v>159</v>
      </c>
      <c r="O1100" t="s">
        <v>159</v>
      </c>
      <c r="P1100" t="s">
        <v>159</v>
      </c>
      <c r="Q1100" t="s">
        <v>159</v>
      </c>
    </row>
    <row r="1101" spans="1:17">
      <c r="A1101">
        <v>2209.6999999999998</v>
      </c>
      <c r="B1101">
        <v>2183.1999999999998</v>
      </c>
      <c r="C1101">
        <v>1505</v>
      </c>
      <c r="D1101">
        <v>1420</v>
      </c>
      <c r="E1101" t="s">
        <v>66</v>
      </c>
      <c r="F1101" t="b">
        <v>0</v>
      </c>
      <c r="G1101" t="b">
        <v>0</v>
      </c>
      <c r="H1101">
        <v>0.9</v>
      </c>
      <c r="I1101">
        <v>5.1109999999999998</v>
      </c>
      <c r="J1101" t="s">
        <v>159</v>
      </c>
      <c r="K1101" t="s">
        <v>159</v>
      </c>
      <c r="L1101" t="s">
        <v>159</v>
      </c>
      <c r="M1101" t="s">
        <v>159</v>
      </c>
      <c r="N1101" t="s">
        <v>159</v>
      </c>
      <c r="O1101" t="s">
        <v>159</v>
      </c>
      <c r="P1101" t="s">
        <v>159</v>
      </c>
      <c r="Q1101" t="s">
        <v>159</v>
      </c>
    </row>
    <row r="1102" spans="1:17">
      <c r="A1102">
        <v>2210.5</v>
      </c>
      <c r="B1102">
        <v>2184</v>
      </c>
      <c r="C1102">
        <v>1505</v>
      </c>
      <c r="D1102">
        <v>1421</v>
      </c>
      <c r="E1102" t="s">
        <v>66</v>
      </c>
      <c r="F1102" t="b">
        <v>0</v>
      </c>
      <c r="G1102" t="b">
        <v>0</v>
      </c>
      <c r="H1102">
        <v>0.9</v>
      </c>
      <c r="I1102">
        <v>5.1109999999999998</v>
      </c>
      <c r="J1102" t="s">
        <v>159</v>
      </c>
      <c r="K1102" t="s">
        <v>159</v>
      </c>
      <c r="L1102" t="s">
        <v>159</v>
      </c>
      <c r="M1102" t="s">
        <v>159</v>
      </c>
      <c r="N1102" t="s">
        <v>159</v>
      </c>
      <c r="O1102" t="s">
        <v>159</v>
      </c>
      <c r="P1102" t="s">
        <v>159</v>
      </c>
      <c r="Q1102" t="s">
        <v>159</v>
      </c>
    </row>
    <row r="1103" spans="1:17">
      <c r="A1103">
        <v>2212.5</v>
      </c>
      <c r="B1103">
        <v>2186</v>
      </c>
      <c r="C1103">
        <v>1507</v>
      </c>
      <c r="D1103">
        <v>1422</v>
      </c>
      <c r="E1103" t="s">
        <v>66</v>
      </c>
      <c r="F1103" t="b">
        <v>0</v>
      </c>
      <c r="G1103" t="b">
        <v>0</v>
      </c>
      <c r="H1103">
        <v>2</v>
      </c>
      <c r="I1103">
        <v>5.1109999999999998</v>
      </c>
      <c r="J1103" t="s">
        <v>159</v>
      </c>
      <c r="K1103" t="s">
        <v>159</v>
      </c>
      <c r="L1103" t="s">
        <v>159</v>
      </c>
      <c r="M1103" t="s">
        <v>159</v>
      </c>
      <c r="N1103" t="s">
        <v>159</v>
      </c>
      <c r="O1103" t="s">
        <v>159</v>
      </c>
      <c r="P1103" t="s">
        <v>159</v>
      </c>
      <c r="Q1103" t="s">
        <v>159</v>
      </c>
    </row>
    <row r="1104" spans="1:17">
      <c r="A1104">
        <v>2214.4</v>
      </c>
      <c r="B1104">
        <v>2187.9</v>
      </c>
      <c r="C1104">
        <v>1508</v>
      </c>
      <c r="D1104">
        <v>1423</v>
      </c>
      <c r="E1104" t="s">
        <v>66</v>
      </c>
      <c r="F1104" t="b">
        <v>0</v>
      </c>
      <c r="G1104" t="b">
        <v>0</v>
      </c>
      <c r="H1104">
        <v>1.8</v>
      </c>
      <c r="I1104">
        <v>5.1109999999999998</v>
      </c>
      <c r="J1104" t="s">
        <v>159</v>
      </c>
      <c r="K1104" t="s">
        <v>159</v>
      </c>
      <c r="L1104" t="s">
        <v>159</v>
      </c>
      <c r="M1104" t="s">
        <v>159</v>
      </c>
      <c r="N1104" t="s">
        <v>159</v>
      </c>
      <c r="O1104" t="s">
        <v>159</v>
      </c>
      <c r="P1104" t="s">
        <v>159</v>
      </c>
      <c r="Q1104" t="s">
        <v>159</v>
      </c>
    </row>
    <row r="1105" spans="1:17">
      <c r="A1105">
        <v>2216</v>
      </c>
      <c r="B1105">
        <v>2189.5</v>
      </c>
      <c r="C1105">
        <v>1509</v>
      </c>
      <c r="D1105">
        <v>1424</v>
      </c>
      <c r="E1105" t="s">
        <v>66</v>
      </c>
      <c r="F1105" t="b">
        <v>0</v>
      </c>
      <c r="G1105" t="b">
        <v>0</v>
      </c>
      <c r="H1105">
        <v>1.6</v>
      </c>
      <c r="I1105" t="s">
        <v>159</v>
      </c>
      <c r="J1105" t="s">
        <v>159</v>
      </c>
      <c r="K1105" t="s">
        <v>159</v>
      </c>
      <c r="L1105" t="s">
        <v>159</v>
      </c>
      <c r="M1105" t="s">
        <v>159</v>
      </c>
      <c r="N1105" t="s">
        <v>159</v>
      </c>
      <c r="O1105" t="s">
        <v>159</v>
      </c>
      <c r="P1105" t="s">
        <v>159</v>
      </c>
      <c r="Q1105" t="s">
        <v>159</v>
      </c>
    </row>
    <row r="1106" spans="1:17">
      <c r="A1106">
        <v>2217</v>
      </c>
      <c r="B1106">
        <v>2190.5</v>
      </c>
      <c r="C1106">
        <v>1510</v>
      </c>
      <c r="D1106">
        <v>1425</v>
      </c>
      <c r="E1106" t="s">
        <v>66</v>
      </c>
      <c r="F1106" t="b">
        <v>0</v>
      </c>
      <c r="G1106" t="b">
        <v>0</v>
      </c>
      <c r="H1106">
        <v>1</v>
      </c>
      <c r="I1106" t="s">
        <v>159</v>
      </c>
      <c r="J1106" t="s">
        <v>159</v>
      </c>
      <c r="K1106" t="s">
        <v>159</v>
      </c>
      <c r="L1106" t="s">
        <v>159</v>
      </c>
      <c r="M1106" t="s">
        <v>159</v>
      </c>
      <c r="N1106" t="s">
        <v>159</v>
      </c>
      <c r="O1106" t="s">
        <v>159</v>
      </c>
      <c r="P1106" t="s">
        <v>159</v>
      </c>
      <c r="Q1106" t="s">
        <v>159</v>
      </c>
    </row>
    <row r="1107" spans="1:17">
      <c r="A1107">
        <v>2218.8000000000002</v>
      </c>
      <c r="B1107">
        <v>2192.3000000000002</v>
      </c>
      <c r="C1107">
        <v>1511</v>
      </c>
      <c r="D1107">
        <v>1426</v>
      </c>
      <c r="E1107" t="s">
        <v>66</v>
      </c>
      <c r="F1107" t="b">
        <v>0</v>
      </c>
      <c r="G1107" t="b">
        <v>0</v>
      </c>
      <c r="H1107">
        <v>1.9</v>
      </c>
      <c r="I1107" t="s">
        <v>159</v>
      </c>
      <c r="J1107" t="s">
        <v>159</v>
      </c>
      <c r="K1107" t="s">
        <v>159</v>
      </c>
      <c r="L1107" t="s">
        <v>159</v>
      </c>
      <c r="M1107" t="s">
        <v>159</v>
      </c>
      <c r="N1107" t="s">
        <v>159</v>
      </c>
      <c r="O1107" t="s">
        <v>159</v>
      </c>
      <c r="P1107" t="s">
        <v>159</v>
      </c>
      <c r="Q1107" t="s">
        <v>159</v>
      </c>
    </row>
    <row r="1108" spans="1:17">
      <c r="A1108">
        <v>2220.1999999999998</v>
      </c>
      <c r="B1108">
        <v>2193.8000000000002</v>
      </c>
      <c r="C1108">
        <v>1512</v>
      </c>
      <c r="D1108">
        <v>1427</v>
      </c>
      <c r="E1108" t="s">
        <v>66</v>
      </c>
      <c r="F1108" t="b">
        <v>0</v>
      </c>
      <c r="G1108" t="b">
        <v>0</v>
      </c>
      <c r="H1108">
        <v>1.4</v>
      </c>
      <c r="I1108">
        <v>5.7539999999999996</v>
      </c>
      <c r="J1108" t="s">
        <v>159</v>
      </c>
      <c r="K1108" t="s">
        <v>159</v>
      </c>
      <c r="L1108" t="s">
        <v>159</v>
      </c>
      <c r="M1108" t="s">
        <v>159</v>
      </c>
      <c r="N1108" t="s">
        <v>159</v>
      </c>
      <c r="O1108" t="s">
        <v>159</v>
      </c>
      <c r="P1108" t="s">
        <v>159</v>
      </c>
      <c r="Q1108" t="s">
        <v>159</v>
      </c>
    </row>
    <row r="1109" spans="1:17">
      <c r="A1109">
        <v>2222</v>
      </c>
      <c r="B1109">
        <v>2195.5</v>
      </c>
      <c r="C1109">
        <v>1513</v>
      </c>
      <c r="D1109">
        <v>1428</v>
      </c>
      <c r="E1109" t="s">
        <v>66</v>
      </c>
      <c r="F1109" t="b">
        <v>0</v>
      </c>
      <c r="G1109" t="b">
        <v>0</v>
      </c>
      <c r="H1109">
        <v>1.8</v>
      </c>
      <c r="I1109">
        <v>5.7539999999999996</v>
      </c>
      <c r="J1109" t="s">
        <v>159</v>
      </c>
      <c r="K1109" t="s">
        <v>159</v>
      </c>
      <c r="L1109" t="s">
        <v>159</v>
      </c>
      <c r="M1109" t="s">
        <v>159</v>
      </c>
      <c r="N1109" t="s">
        <v>159</v>
      </c>
      <c r="O1109" t="s">
        <v>159</v>
      </c>
      <c r="P1109" t="s">
        <v>159</v>
      </c>
      <c r="Q1109" t="s">
        <v>159</v>
      </c>
    </row>
    <row r="1110" spans="1:17">
      <c r="A1110">
        <v>2223.3000000000002</v>
      </c>
      <c r="B1110">
        <v>2196.8000000000002</v>
      </c>
      <c r="C1110">
        <v>1514</v>
      </c>
      <c r="D1110">
        <v>1429</v>
      </c>
      <c r="E1110" t="s">
        <v>66</v>
      </c>
      <c r="F1110" t="b">
        <v>0</v>
      </c>
      <c r="G1110" t="b">
        <v>0</v>
      </c>
      <c r="H1110">
        <v>1.3</v>
      </c>
      <c r="I1110">
        <v>5.7539999999999996</v>
      </c>
      <c r="J1110" t="s">
        <v>159</v>
      </c>
      <c r="K1110" t="s">
        <v>159</v>
      </c>
      <c r="L1110" t="s">
        <v>159</v>
      </c>
      <c r="M1110" t="s">
        <v>159</v>
      </c>
      <c r="N1110" t="s">
        <v>159</v>
      </c>
      <c r="O1110" t="s">
        <v>159</v>
      </c>
      <c r="P1110" t="s">
        <v>159</v>
      </c>
      <c r="Q1110" t="s">
        <v>159</v>
      </c>
    </row>
    <row r="1111" spans="1:17">
      <c r="A1111">
        <v>2225.1999999999998</v>
      </c>
      <c r="B1111">
        <v>2198.6999999999998</v>
      </c>
      <c r="C1111">
        <v>1516</v>
      </c>
      <c r="D1111">
        <v>1430</v>
      </c>
      <c r="E1111" t="s">
        <v>66</v>
      </c>
      <c r="F1111" t="b">
        <v>0</v>
      </c>
      <c r="G1111" t="b">
        <v>0</v>
      </c>
      <c r="H1111">
        <v>1.9</v>
      </c>
      <c r="I1111">
        <v>5.7539999999999996</v>
      </c>
      <c r="J1111" t="s">
        <v>159</v>
      </c>
      <c r="K1111" t="s">
        <v>159</v>
      </c>
      <c r="L1111" t="s">
        <v>159</v>
      </c>
      <c r="M1111" t="s">
        <v>159</v>
      </c>
      <c r="N1111" t="s">
        <v>159</v>
      </c>
      <c r="O1111" t="s">
        <v>159</v>
      </c>
      <c r="P1111" t="s">
        <v>159</v>
      </c>
      <c r="Q1111" t="s">
        <v>159</v>
      </c>
    </row>
    <row r="1112" spans="1:17">
      <c r="A1112">
        <v>2226.6</v>
      </c>
      <c r="B1112">
        <v>2200.1</v>
      </c>
      <c r="C1112">
        <v>1517</v>
      </c>
      <c r="D1112">
        <v>1431</v>
      </c>
      <c r="E1112" t="s">
        <v>66</v>
      </c>
      <c r="F1112" t="b">
        <v>0</v>
      </c>
      <c r="G1112" t="b">
        <v>0</v>
      </c>
      <c r="H1112">
        <v>1.4</v>
      </c>
      <c r="I1112">
        <v>5.7539999999999996</v>
      </c>
      <c r="J1112" t="s">
        <v>159</v>
      </c>
      <c r="K1112" t="s">
        <v>159</v>
      </c>
      <c r="L1112" t="s">
        <v>159</v>
      </c>
      <c r="M1112" t="s">
        <v>159</v>
      </c>
      <c r="N1112" t="s">
        <v>159</v>
      </c>
      <c r="O1112" t="s">
        <v>159</v>
      </c>
      <c r="P1112" t="s">
        <v>159</v>
      </c>
      <c r="Q1112" t="s">
        <v>159</v>
      </c>
    </row>
    <row r="1113" spans="1:17">
      <c r="A1113">
        <v>2227.9</v>
      </c>
      <c r="B1113">
        <v>2201.4</v>
      </c>
      <c r="C1113">
        <v>1518</v>
      </c>
      <c r="D1113">
        <v>1432</v>
      </c>
      <c r="E1113" t="s">
        <v>66</v>
      </c>
      <c r="F1113" t="b">
        <v>0</v>
      </c>
      <c r="G1113" t="b">
        <v>0</v>
      </c>
      <c r="H1113">
        <v>1.3</v>
      </c>
      <c r="I1113">
        <v>5.7539999999999996</v>
      </c>
      <c r="J1113" t="s">
        <v>159</v>
      </c>
      <c r="K1113" t="s">
        <v>159</v>
      </c>
      <c r="L1113" t="s">
        <v>159</v>
      </c>
      <c r="M1113" t="s">
        <v>159</v>
      </c>
      <c r="N1113" t="s">
        <v>159</v>
      </c>
      <c r="O1113" t="s">
        <v>159</v>
      </c>
      <c r="P1113" t="s">
        <v>159</v>
      </c>
      <c r="Q1113" t="s">
        <v>159</v>
      </c>
    </row>
    <row r="1114" spans="1:17">
      <c r="A1114">
        <v>2229.4</v>
      </c>
      <c r="B1114">
        <v>2202.9</v>
      </c>
      <c r="C1114">
        <v>1519</v>
      </c>
      <c r="D1114">
        <v>1433</v>
      </c>
      <c r="E1114" t="s">
        <v>66</v>
      </c>
      <c r="F1114" t="b">
        <v>0</v>
      </c>
      <c r="G1114" t="b">
        <v>0</v>
      </c>
      <c r="H1114">
        <v>1.5</v>
      </c>
      <c r="I1114">
        <v>5.7539999999999996</v>
      </c>
      <c r="J1114" t="s">
        <v>159</v>
      </c>
      <c r="K1114" t="s">
        <v>159</v>
      </c>
      <c r="L1114" t="s">
        <v>159</v>
      </c>
      <c r="M1114" t="s">
        <v>159</v>
      </c>
      <c r="N1114" t="s">
        <v>159</v>
      </c>
      <c r="O1114" t="s">
        <v>159</v>
      </c>
      <c r="P1114" t="s">
        <v>159</v>
      </c>
      <c r="Q1114" t="s">
        <v>159</v>
      </c>
    </row>
    <row r="1115" spans="1:17">
      <c r="A1115">
        <v>2230.9</v>
      </c>
      <c r="B1115">
        <v>2204.4</v>
      </c>
      <c r="C1115">
        <v>1520</v>
      </c>
      <c r="D1115">
        <v>1434</v>
      </c>
      <c r="E1115" t="s">
        <v>66</v>
      </c>
      <c r="F1115" t="b">
        <v>0</v>
      </c>
      <c r="G1115" t="b">
        <v>0</v>
      </c>
      <c r="H1115">
        <v>1.5</v>
      </c>
      <c r="I1115">
        <v>5.7539999999999996</v>
      </c>
      <c r="J1115" t="s">
        <v>159</v>
      </c>
      <c r="K1115" t="s">
        <v>159</v>
      </c>
      <c r="L1115" t="s">
        <v>159</v>
      </c>
      <c r="M1115" t="s">
        <v>159</v>
      </c>
      <c r="N1115" t="s">
        <v>159</v>
      </c>
      <c r="O1115" t="s">
        <v>159</v>
      </c>
      <c r="P1115" t="s">
        <v>159</v>
      </c>
      <c r="Q1115" t="s">
        <v>159</v>
      </c>
    </row>
    <row r="1116" spans="1:17">
      <c r="A1116">
        <v>2232.6</v>
      </c>
      <c r="B1116">
        <v>2206.1</v>
      </c>
      <c r="C1116">
        <v>1521</v>
      </c>
      <c r="D1116">
        <v>1435</v>
      </c>
      <c r="E1116" t="s">
        <v>66</v>
      </c>
      <c r="F1116" t="b">
        <v>0</v>
      </c>
      <c r="G1116" t="b">
        <v>0</v>
      </c>
      <c r="H1116">
        <v>1.7</v>
      </c>
      <c r="I1116">
        <v>5.7539999999999996</v>
      </c>
      <c r="J1116" t="s">
        <v>159</v>
      </c>
      <c r="K1116" t="s">
        <v>159</v>
      </c>
      <c r="L1116" t="s">
        <v>159</v>
      </c>
      <c r="M1116" t="s">
        <v>159</v>
      </c>
      <c r="N1116" t="s">
        <v>159</v>
      </c>
      <c r="O1116" t="s">
        <v>159</v>
      </c>
      <c r="P1116" t="s">
        <v>159</v>
      </c>
      <c r="Q1116" t="s">
        <v>159</v>
      </c>
    </row>
    <row r="1117" spans="1:17">
      <c r="A1117">
        <v>2234</v>
      </c>
      <c r="B1117">
        <v>2207.5</v>
      </c>
      <c r="C1117">
        <v>1522</v>
      </c>
      <c r="D1117">
        <v>1436</v>
      </c>
      <c r="E1117" t="s">
        <v>66</v>
      </c>
      <c r="F1117" t="b">
        <v>0</v>
      </c>
      <c r="G1117" t="b">
        <v>0</v>
      </c>
      <c r="H1117">
        <v>1.4</v>
      </c>
      <c r="I1117">
        <v>5.7539999999999996</v>
      </c>
      <c r="J1117" t="s">
        <v>159</v>
      </c>
      <c r="K1117" t="s">
        <v>159</v>
      </c>
      <c r="L1117" t="s">
        <v>159</v>
      </c>
      <c r="M1117" t="s">
        <v>159</v>
      </c>
      <c r="N1117" t="s">
        <v>159</v>
      </c>
      <c r="O1117" t="s">
        <v>159</v>
      </c>
      <c r="P1117" t="s">
        <v>159</v>
      </c>
      <c r="Q1117" t="s">
        <v>159</v>
      </c>
    </row>
    <row r="1118" spans="1:17">
      <c r="A1118">
        <v>2235.6</v>
      </c>
      <c r="B1118">
        <v>2209.1</v>
      </c>
      <c r="C1118">
        <v>1523</v>
      </c>
      <c r="D1118">
        <v>1437</v>
      </c>
      <c r="E1118" t="s">
        <v>66</v>
      </c>
      <c r="F1118" t="b">
        <v>0</v>
      </c>
      <c r="G1118" t="b">
        <v>0</v>
      </c>
      <c r="H1118">
        <v>1.6</v>
      </c>
      <c r="I1118">
        <v>5.7539999999999996</v>
      </c>
      <c r="J1118" t="s">
        <v>159</v>
      </c>
      <c r="K1118" t="s">
        <v>159</v>
      </c>
      <c r="L1118" t="s">
        <v>159</v>
      </c>
      <c r="M1118" t="s">
        <v>159</v>
      </c>
      <c r="N1118" t="s">
        <v>159</v>
      </c>
      <c r="O1118" t="s">
        <v>159</v>
      </c>
      <c r="P1118" t="s">
        <v>159</v>
      </c>
      <c r="Q1118" t="s">
        <v>159</v>
      </c>
    </row>
    <row r="1119" spans="1:17">
      <c r="A1119">
        <v>2236.5</v>
      </c>
      <c r="B1119">
        <v>2210</v>
      </c>
      <c r="C1119">
        <v>1524</v>
      </c>
      <c r="D1119">
        <v>1438</v>
      </c>
      <c r="E1119" t="s">
        <v>66</v>
      </c>
      <c r="F1119" t="b">
        <v>0</v>
      </c>
      <c r="G1119" t="b">
        <v>0</v>
      </c>
      <c r="H1119">
        <v>0.8</v>
      </c>
      <c r="I1119">
        <v>5.7539999999999996</v>
      </c>
      <c r="J1119" t="s">
        <v>159</v>
      </c>
      <c r="K1119" t="s">
        <v>159</v>
      </c>
      <c r="L1119" t="s">
        <v>159</v>
      </c>
      <c r="M1119" t="s">
        <v>159</v>
      </c>
      <c r="N1119" t="s">
        <v>159</v>
      </c>
      <c r="O1119" t="s">
        <v>159</v>
      </c>
      <c r="P1119" t="s">
        <v>159</v>
      </c>
      <c r="Q1119" t="s">
        <v>159</v>
      </c>
    </row>
    <row r="1120" spans="1:17">
      <c r="A1120">
        <v>2238</v>
      </c>
      <c r="B1120">
        <v>2211.5</v>
      </c>
      <c r="C1120">
        <v>1525</v>
      </c>
      <c r="D1120">
        <v>1439</v>
      </c>
      <c r="E1120" t="s">
        <v>66</v>
      </c>
      <c r="F1120" t="b">
        <v>0</v>
      </c>
      <c r="G1120" t="b">
        <v>0</v>
      </c>
      <c r="H1120">
        <v>1.5</v>
      </c>
      <c r="I1120">
        <v>5.7539999999999996</v>
      </c>
      <c r="J1120" t="s">
        <v>159</v>
      </c>
      <c r="K1120" t="s">
        <v>159</v>
      </c>
      <c r="L1120" t="s">
        <v>159</v>
      </c>
      <c r="M1120" t="s">
        <v>159</v>
      </c>
      <c r="N1120" t="s">
        <v>159</v>
      </c>
      <c r="O1120" t="s">
        <v>159</v>
      </c>
      <c r="P1120" t="s">
        <v>159</v>
      </c>
      <c r="Q1120" t="s">
        <v>159</v>
      </c>
    </row>
    <row r="1121" spans="1:17">
      <c r="A1121">
        <v>2239.4</v>
      </c>
      <c r="B1121">
        <v>2212.9</v>
      </c>
      <c r="C1121">
        <v>1526</v>
      </c>
      <c r="D1121">
        <v>1440</v>
      </c>
      <c r="E1121" t="s">
        <v>66</v>
      </c>
      <c r="F1121" t="b">
        <v>0</v>
      </c>
      <c r="G1121" t="b">
        <v>0</v>
      </c>
      <c r="H1121">
        <v>1.4</v>
      </c>
      <c r="I1121">
        <v>5.7539999999999996</v>
      </c>
      <c r="J1121" t="s">
        <v>159</v>
      </c>
      <c r="K1121" t="s">
        <v>159</v>
      </c>
      <c r="L1121" t="s">
        <v>159</v>
      </c>
      <c r="M1121" t="s">
        <v>159</v>
      </c>
      <c r="N1121" t="s">
        <v>159</v>
      </c>
      <c r="O1121" t="s">
        <v>159</v>
      </c>
      <c r="P1121" t="s">
        <v>159</v>
      </c>
      <c r="Q1121" t="s">
        <v>159</v>
      </c>
    </row>
    <row r="1122" spans="1:17">
      <c r="A1122">
        <v>2240.6999999999998</v>
      </c>
      <c r="B1122">
        <v>2214.1999999999998</v>
      </c>
      <c r="C1122">
        <v>1527</v>
      </c>
      <c r="D1122">
        <v>1441</v>
      </c>
      <c r="E1122" t="s">
        <v>66</v>
      </c>
      <c r="F1122" t="b">
        <v>0</v>
      </c>
      <c r="G1122" t="b">
        <v>0</v>
      </c>
      <c r="H1122">
        <v>1.3</v>
      </c>
      <c r="I1122" t="s">
        <v>159</v>
      </c>
      <c r="J1122" t="s">
        <v>159</v>
      </c>
      <c r="K1122" t="s">
        <v>159</v>
      </c>
      <c r="L1122" t="s">
        <v>159</v>
      </c>
      <c r="M1122" t="s">
        <v>159</v>
      </c>
      <c r="N1122" t="s">
        <v>159</v>
      </c>
      <c r="O1122" t="s">
        <v>159</v>
      </c>
      <c r="P1122" t="s">
        <v>159</v>
      </c>
      <c r="Q1122" t="s">
        <v>159</v>
      </c>
    </row>
    <row r="1123" spans="1:17">
      <c r="A1123">
        <v>2242.1</v>
      </c>
      <c r="B1123">
        <v>2215.6</v>
      </c>
      <c r="C1123">
        <v>1528</v>
      </c>
      <c r="D1123">
        <v>1442</v>
      </c>
      <c r="E1123" t="s">
        <v>66</v>
      </c>
      <c r="F1123" t="b">
        <v>0</v>
      </c>
      <c r="G1123" t="b">
        <v>0</v>
      </c>
      <c r="H1123">
        <v>1.4</v>
      </c>
      <c r="I1123" t="s">
        <v>159</v>
      </c>
      <c r="J1123" t="s">
        <v>159</v>
      </c>
      <c r="K1123" t="s">
        <v>159</v>
      </c>
      <c r="L1123" t="s">
        <v>159</v>
      </c>
      <c r="M1123" t="s">
        <v>159</v>
      </c>
      <c r="N1123" t="s">
        <v>159</v>
      </c>
      <c r="O1123" t="s">
        <v>159</v>
      </c>
      <c r="P1123" t="s">
        <v>159</v>
      </c>
      <c r="Q1123" t="s">
        <v>159</v>
      </c>
    </row>
    <row r="1124" spans="1:17">
      <c r="A1124">
        <v>2243.4</v>
      </c>
      <c r="B1124">
        <v>2216.9</v>
      </c>
      <c r="C1124">
        <v>1529</v>
      </c>
      <c r="D1124">
        <v>1443</v>
      </c>
      <c r="E1124" t="s">
        <v>66</v>
      </c>
      <c r="F1124" t="b">
        <v>0</v>
      </c>
      <c r="G1124" t="b">
        <v>0</v>
      </c>
      <c r="H1124">
        <v>1.3</v>
      </c>
      <c r="I1124" t="s">
        <v>159</v>
      </c>
      <c r="J1124" t="s">
        <v>159</v>
      </c>
      <c r="K1124" t="s">
        <v>159</v>
      </c>
      <c r="L1124" t="s">
        <v>159</v>
      </c>
      <c r="M1124" t="s">
        <v>159</v>
      </c>
      <c r="N1124" t="s">
        <v>159</v>
      </c>
      <c r="O1124" t="s">
        <v>159</v>
      </c>
      <c r="P1124" t="s">
        <v>159</v>
      </c>
      <c r="Q1124" t="s">
        <v>159</v>
      </c>
    </row>
    <row r="1125" spans="1:17">
      <c r="A1125">
        <v>2245.5</v>
      </c>
      <c r="B1125">
        <v>2219</v>
      </c>
      <c r="C1125">
        <v>1530</v>
      </c>
      <c r="D1125">
        <v>1444</v>
      </c>
      <c r="E1125" t="s">
        <v>66</v>
      </c>
      <c r="F1125" t="b">
        <v>0</v>
      </c>
      <c r="G1125" t="b">
        <v>0</v>
      </c>
      <c r="H1125">
        <v>2.1</v>
      </c>
      <c r="I1125">
        <v>5.0590000000000002</v>
      </c>
      <c r="J1125" t="s">
        <v>159</v>
      </c>
      <c r="K1125" t="s">
        <v>159</v>
      </c>
      <c r="L1125" t="s">
        <v>159</v>
      </c>
      <c r="M1125" t="s">
        <v>159</v>
      </c>
      <c r="N1125" t="s">
        <v>159</v>
      </c>
      <c r="O1125" t="s">
        <v>159</v>
      </c>
      <c r="P1125" t="s">
        <v>159</v>
      </c>
      <c r="Q1125" t="s">
        <v>159</v>
      </c>
    </row>
    <row r="1126" spans="1:17">
      <c r="A1126">
        <v>2246.3000000000002</v>
      </c>
      <c r="B1126">
        <v>2219.8000000000002</v>
      </c>
      <c r="C1126">
        <v>1531</v>
      </c>
      <c r="D1126">
        <v>1445</v>
      </c>
      <c r="E1126" t="s">
        <v>66</v>
      </c>
      <c r="F1126" t="b">
        <v>0</v>
      </c>
      <c r="G1126" t="b">
        <v>0</v>
      </c>
      <c r="H1126">
        <v>0.8</v>
      </c>
      <c r="I1126">
        <v>5.0590000000000002</v>
      </c>
      <c r="J1126" t="s">
        <v>159</v>
      </c>
      <c r="K1126" t="s">
        <v>159</v>
      </c>
      <c r="L1126" t="s">
        <v>159</v>
      </c>
      <c r="M1126" t="s">
        <v>159</v>
      </c>
      <c r="N1126" t="s">
        <v>159</v>
      </c>
      <c r="O1126" t="s">
        <v>159</v>
      </c>
      <c r="P1126" t="s">
        <v>159</v>
      </c>
      <c r="Q1126" t="s">
        <v>159</v>
      </c>
    </row>
    <row r="1127" spans="1:17">
      <c r="A1127">
        <v>2247.8000000000002</v>
      </c>
      <c r="B1127">
        <v>2221.3000000000002</v>
      </c>
      <c r="C1127">
        <v>1532</v>
      </c>
      <c r="D1127">
        <v>1446</v>
      </c>
      <c r="E1127" t="s">
        <v>66</v>
      </c>
      <c r="F1127" t="b">
        <v>0</v>
      </c>
      <c r="G1127" t="b">
        <v>0</v>
      </c>
      <c r="H1127">
        <v>1.5</v>
      </c>
      <c r="I1127">
        <v>5.0590000000000002</v>
      </c>
      <c r="J1127" t="s">
        <v>159</v>
      </c>
      <c r="K1127" t="s">
        <v>159</v>
      </c>
      <c r="L1127" t="s">
        <v>159</v>
      </c>
      <c r="M1127" t="s">
        <v>159</v>
      </c>
      <c r="N1127" t="s">
        <v>159</v>
      </c>
      <c r="O1127" t="s">
        <v>159</v>
      </c>
      <c r="P1127" t="s">
        <v>159</v>
      </c>
      <c r="Q1127" t="s">
        <v>159</v>
      </c>
    </row>
    <row r="1128" spans="1:17">
      <c r="A1128">
        <v>2249.3000000000002</v>
      </c>
      <c r="B1128">
        <v>2222.8000000000002</v>
      </c>
      <c r="C1128">
        <v>1533</v>
      </c>
      <c r="D1128">
        <v>1447</v>
      </c>
      <c r="E1128" t="s">
        <v>66</v>
      </c>
      <c r="F1128" t="b">
        <v>0</v>
      </c>
      <c r="G1128" t="b">
        <v>0</v>
      </c>
      <c r="H1128">
        <v>1.6</v>
      </c>
      <c r="I1128">
        <v>5.0590000000000002</v>
      </c>
      <c r="J1128" t="s">
        <v>159</v>
      </c>
      <c r="K1128" t="s">
        <v>159</v>
      </c>
      <c r="L1128" t="s">
        <v>159</v>
      </c>
      <c r="M1128" t="s">
        <v>159</v>
      </c>
      <c r="N1128" t="s">
        <v>159</v>
      </c>
      <c r="O1128" t="s">
        <v>159</v>
      </c>
      <c r="P1128" t="s">
        <v>159</v>
      </c>
      <c r="Q1128" t="s">
        <v>159</v>
      </c>
    </row>
    <row r="1129" spans="1:17">
      <c r="A1129">
        <v>2251.1</v>
      </c>
      <c r="B1129">
        <v>2224.6</v>
      </c>
      <c r="C1129">
        <v>1534</v>
      </c>
      <c r="D1129">
        <v>1448</v>
      </c>
      <c r="E1129" t="s">
        <v>66</v>
      </c>
      <c r="F1129" t="b">
        <v>0</v>
      </c>
      <c r="G1129" t="b">
        <v>0</v>
      </c>
      <c r="H1129">
        <v>1.7</v>
      </c>
      <c r="I1129">
        <v>5.0590000000000002</v>
      </c>
      <c r="J1129" t="s">
        <v>159</v>
      </c>
      <c r="K1129" t="s">
        <v>159</v>
      </c>
      <c r="L1129" t="s">
        <v>159</v>
      </c>
      <c r="M1129" t="s">
        <v>159</v>
      </c>
      <c r="N1129" t="s">
        <v>159</v>
      </c>
      <c r="O1129" t="s">
        <v>159</v>
      </c>
      <c r="P1129" t="s">
        <v>159</v>
      </c>
      <c r="Q1129" t="s">
        <v>159</v>
      </c>
    </row>
    <row r="1130" spans="1:17">
      <c r="A1130">
        <v>2252.4</v>
      </c>
      <c r="B1130">
        <v>2225.9</v>
      </c>
      <c r="C1130">
        <v>1535</v>
      </c>
      <c r="D1130">
        <v>1449</v>
      </c>
      <c r="E1130" t="s">
        <v>66</v>
      </c>
      <c r="F1130" t="b">
        <v>0</v>
      </c>
      <c r="G1130" t="b">
        <v>0</v>
      </c>
      <c r="H1130">
        <v>1.3</v>
      </c>
      <c r="I1130">
        <v>5.0590000000000002</v>
      </c>
      <c r="J1130" t="s">
        <v>159</v>
      </c>
      <c r="K1130" t="s">
        <v>159</v>
      </c>
      <c r="L1130" t="s">
        <v>159</v>
      </c>
      <c r="M1130" t="s">
        <v>159</v>
      </c>
      <c r="N1130" t="s">
        <v>159</v>
      </c>
      <c r="O1130" t="s">
        <v>159</v>
      </c>
      <c r="P1130" t="s">
        <v>159</v>
      </c>
      <c r="Q1130" t="s">
        <v>159</v>
      </c>
    </row>
    <row r="1131" spans="1:17">
      <c r="A1131">
        <v>2254.9</v>
      </c>
      <c r="B1131">
        <v>2228.4</v>
      </c>
      <c r="C1131">
        <v>1537</v>
      </c>
      <c r="D1131">
        <v>1450</v>
      </c>
      <c r="E1131" t="s">
        <v>66</v>
      </c>
      <c r="F1131" t="b">
        <v>0</v>
      </c>
      <c r="G1131" t="b">
        <v>0</v>
      </c>
      <c r="H1131">
        <v>2.5</v>
      </c>
      <c r="I1131">
        <v>5.0590000000000002</v>
      </c>
      <c r="J1131">
        <v>0.93799999999999994</v>
      </c>
      <c r="K1131">
        <v>3.59</v>
      </c>
      <c r="L1131">
        <v>7.41</v>
      </c>
      <c r="M1131">
        <v>14.1</v>
      </c>
      <c r="N1131">
        <v>23.8</v>
      </c>
      <c r="O1131">
        <v>14.98</v>
      </c>
      <c r="P1131">
        <v>83.75</v>
      </c>
      <c r="Q1131">
        <v>1.27</v>
      </c>
    </row>
    <row r="1132" spans="1:17">
      <c r="A1132">
        <v>2256.6999999999998</v>
      </c>
      <c r="B1132">
        <v>2230.1999999999998</v>
      </c>
      <c r="C1132">
        <v>1538</v>
      </c>
      <c r="D1132">
        <v>1451</v>
      </c>
      <c r="E1132" t="s">
        <v>66</v>
      </c>
      <c r="F1132" t="b">
        <v>0</v>
      </c>
      <c r="G1132" t="b">
        <v>0</v>
      </c>
      <c r="H1132">
        <v>1.9</v>
      </c>
      <c r="I1132">
        <v>5.0590000000000002</v>
      </c>
      <c r="J1132">
        <v>0.93799999999999994</v>
      </c>
      <c r="K1132">
        <v>3.59</v>
      </c>
      <c r="L1132">
        <v>7.41</v>
      </c>
      <c r="M1132">
        <v>14.1</v>
      </c>
      <c r="N1132">
        <v>23.8</v>
      </c>
      <c r="O1132">
        <v>14.98</v>
      </c>
      <c r="P1132">
        <v>83.75</v>
      </c>
      <c r="Q1132">
        <v>1.27</v>
      </c>
    </row>
    <row r="1133" spans="1:17">
      <c r="A1133">
        <v>2257.4</v>
      </c>
      <c r="B1133">
        <v>2230.9</v>
      </c>
      <c r="C1133">
        <v>1539</v>
      </c>
      <c r="D1133">
        <v>1452</v>
      </c>
      <c r="E1133" t="s">
        <v>66</v>
      </c>
      <c r="F1133" t="b">
        <v>0</v>
      </c>
      <c r="G1133" t="b">
        <v>0</v>
      </c>
      <c r="H1133">
        <v>0.7</v>
      </c>
      <c r="I1133">
        <v>5.0590000000000002</v>
      </c>
      <c r="J1133">
        <v>0.93799999999999994</v>
      </c>
      <c r="K1133">
        <v>3.59</v>
      </c>
      <c r="L1133">
        <v>7.41</v>
      </c>
      <c r="M1133">
        <v>14.1</v>
      </c>
      <c r="N1133">
        <v>23.8</v>
      </c>
      <c r="O1133">
        <v>14.98</v>
      </c>
      <c r="P1133">
        <v>83.75</v>
      </c>
      <c r="Q1133">
        <v>1.27</v>
      </c>
    </row>
    <row r="1134" spans="1:17">
      <c r="A1134">
        <v>2258</v>
      </c>
      <c r="B1134">
        <v>2231.5</v>
      </c>
      <c r="C1134">
        <v>1539</v>
      </c>
      <c r="D1134">
        <v>1453</v>
      </c>
      <c r="E1134" t="s">
        <v>66</v>
      </c>
      <c r="F1134" t="b">
        <v>0</v>
      </c>
      <c r="G1134" t="b">
        <v>0</v>
      </c>
      <c r="H1134">
        <v>0.6</v>
      </c>
      <c r="I1134">
        <v>5.0590000000000002</v>
      </c>
      <c r="J1134">
        <v>0.93799999999999994</v>
      </c>
      <c r="K1134">
        <v>3.59</v>
      </c>
      <c r="L1134">
        <v>7.41</v>
      </c>
      <c r="M1134">
        <v>14.1</v>
      </c>
      <c r="N1134">
        <v>23.8</v>
      </c>
      <c r="O1134">
        <v>14.98</v>
      </c>
      <c r="P1134">
        <v>83.75</v>
      </c>
      <c r="Q1134">
        <v>1.27</v>
      </c>
    </row>
    <row r="1135" spans="1:17">
      <c r="A1135">
        <v>2258.6999999999998</v>
      </c>
      <c r="B1135">
        <v>2232.1999999999998</v>
      </c>
      <c r="C1135">
        <v>1540</v>
      </c>
      <c r="D1135">
        <v>1454</v>
      </c>
      <c r="E1135" t="s">
        <v>66</v>
      </c>
      <c r="F1135" t="b">
        <v>0</v>
      </c>
      <c r="G1135" t="b">
        <v>0</v>
      </c>
      <c r="H1135">
        <v>0.6</v>
      </c>
      <c r="I1135">
        <v>5.0590000000000002</v>
      </c>
      <c r="J1135">
        <v>0.93799999999999994</v>
      </c>
      <c r="K1135">
        <v>3.59</v>
      </c>
      <c r="L1135">
        <v>7.41</v>
      </c>
      <c r="M1135">
        <v>14.1</v>
      </c>
      <c r="N1135">
        <v>23.8</v>
      </c>
      <c r="O1135">
        <v>14.98</v>
      </c>
      <c r="P1135">
        <v>83.75</v>
      </c>
      <c r="Q1135">
        <v>1.27</v>
      </c>
    </row>
    <row r="1136" spans="1:17">
      <c r="A1136">
        <v>2305.6999999999998</v>
      </c>
      <c r="B1136">
        <v>2232.1999999999998</v>
      </c>
      <c r="C1136">
        <v>1540</v>
      </c>
      <c r="D1136">
        <v>1454</v>
      </c>
      <c r="E1136" t="s">
        <v>66</v>
      </c>
      <c r="F1136" t="b">
        <v>1</v>
      </c>
      <c r="G1136" t="b">
        <v>0</v>
      </c>
      <c r="H1136">
        <v>47</v>
      </c>
      <c r="I1136">
        <v>4.8979999999999997</v>
      </c>
      <c r="J1136" t="s">
        <v>159</v>
      </c>
      <c r="K1136" t="s">
        <v>159</v>
      </c>
      <c r="L1136" t="s">
        <v>159</v>
      </c>
      <c r="M1136" t="s">
        <v>159</v>
      </c>
      <c r="N1136" t="s">
        <v>159</v>
      </c>
      <c r="O1136" t="s">
        <v>159</v>
      </c>
      <c r="P1136" t="s">
        <v>159</v>
      </c>
      <c r="Q1136" t="s">
        <v>159</v>
      </c>
    </row>
    <row r="1137" spans="1:17">
      <c r="A1137">
        <v>2309</v>
      </c>
      <c r="B1137">
        <v>2235.4</v>
      </c>
      <c r="C1137">
        <v>1542</v>
      </c>
      <c r="D1137">
        <v>1455</v>
      </c>
      <c r="E1137" t="s">
        <v>66</v>
      </c>
      <c r="F1137" t="b">
        <v>0</v>
      </c>
      <c r="G1137" t="b">
        <v>0</v>
      </c>
      <c r="H1137">
        <v>3.2</v>
      </c>
      <c r="I1137">
        <v>4.8979999999999997</v>
      </c>
      <c r="J1137" t="s">
        <v>159</v>
      </c>
      <c r="K1137" t="s">
        <v>159</v>
      </c>
      <c r="L1137" t="s">
        <v>159</v>
      </c>
      <c r="M1137" t="s">
        <v>159</v>
      </c>
      <c r="N1137" t="s">
        <v>159</v>
      </c>
      <c r="O1137" t="s">
        <v>159</v>
      </c>
      <c r="P1137" t="s">
        <v>159</v>
      </c>
      <c r="Q1137" t="s">
        <v>159</v>
      </c>
    </row>
    <row r="1138" spans="1:17">
      <c r="A1138">
        <v>2310.1</v>
      </c>
      <c r="B1138">
        <v>2236.6</v>
      </c>
      <c r="C1138">
        <v>1543</v>
      </c>
      <c r="D1138">
        <v>1456</v>
      </c>
      <c r="E1138" t="s">
        <v>66</v>
      </c>
      <c r="F1138" t="b">
        <v>0</v>
      </c>
      <c r="G1138" t="b">
        <v>0</v>
      </c>
      <c r="H1138">
        <v>1.2</v>
      </c>
      <c r="I1138">
        <v>4.8979999999999997</v>
      </c>
      <c r="J1138" t="s">
        <v>159</v>
      </c>
      <c r="K1138" t="s">
        <v>159</v>
      </c>
      <c r="L1138" t="s">
        <v>159</v>
      </c>
      <c r="M1138" t="s">
        <v>159</v>
      </c>
      <c r="N1138" t="s">
        <v>159</v>
      </c>
      <c r="O1138" t="s">
        <v>159</v>
      </c>
      <c r="P1138" t="s">
        <v>159</v>
      </c>
      <c r="Q1138" t="s">
        <v>159</v>
      </c>
    </row>
    <row r="1139" spans="1:17">
      <c r="A1139">
        <v>2314.8000000000002</v>
      </c>
      <c r="B1139">
        <v>2236.6</v>
      </c>
      <c r="C1139">
        <v>1543</v>
      </c>
      <c r="D1139">
        <v>1456</v>
      </c>
      <c r="E1139" t="s">
        <v>66</v>
      </c>
      <c r="F1139" t="b">
        <v>1</v>
      </c>
      <c r="G1139" t="b">
        <v>0</v>
      </c>
      <c r="H1139">
        <v>4.7</v>
      </c>
      <c r="I1139">
        <v>4.8979999999999997</v>
      </c>
      <c r="J1139" t="s">
        <v>159</v>
      </c>
      <c r="K1139" t="s">
        <v>159</v>
      </c>
      <c r="L1139" t="s">
        <v>159</v>
      </c>
      <c r="M1139" t="s">
        <v>159</v>
      </c>
      <c r="N1139" t="s">
        <v>159</v>
      </c>
      <c r="O1139" t="s">
        <v>159</v>
      </c>
      <c r="P1139" t="s">
        <v>159</v>
      </c>
      <c r="Q1139" t="s">
        <v>159</v>
      </c>
    </row>
    <row r="1140" spans="1:17">
      <c r="A1140">
        <v>2316.1</v>
      </c>
      <c r="B1140">
        <v>2237.9</v>
      </c>
      <c r="C1140">
        <v>1544</v>
      </c>
      <c r="D1140">
        <v>1457</v>
      </c>
      <c r="E1140" t="s">
        <v>66</v>
      </c>
      <c r="F1140" t="b">
        <v>0</v>
      </c>
      <c r="G1140" t="b">
        <v>0</v>
      </c>
      <c r="H1140">
        <v>1.3</v>
      </c>
      <c r="I1140" t="s">
        <v>159</v>
      </c>
      <c r="J1140" t="s">
        <v>159</v>
      </c>
      <c r="K1140" t="s">
        <v>159</v>
      </c>
      <c r="L1140" t="s">
        <v>159</v>
      </c>
      <c r="M1140" t="s">
        <v>159</v>
      </c>
      <c r="N1140" t="s">
        <v>159</v>
      </c>
      <c r="O1140" t="s">
        <v>159</v>
      </c>
      <c r="P1140" t="s">
        <v>159</v>
      </c>
      <c r="Q1140" t="s">
        <v>159</v>
      </c>
    </row>
    <row r="1141" spans="1:17">
      <c r="A1141">
        <v>2318.3000000000002</v>
      </c>
      <c r="B1141">
        <v>2240.1</v>
      </c>
      <c r="C1141">
        <v>1546</v>
      </c>
      <c r="D1141">
        <v>1458</v>
      </c>
      <c r="E1141" t="s">
        <v>66</v>
      </c>
      <c r="F1141" t="b">
        <v>0</v>
      </c>
      <c r="G1141" t="b">
        <v>0</v>
      </c>
      <c r="H1141">
        <v>2.2000000000000002</v>
      </c>
      <c r="I1141" t="s">
        <v>159</v>
      </c>
      <c r="J1141" t="s">
        <v>159</v>
      </c>
      <c r="K1141" t="s">
        <v>159</v>
      </c>
      <c r="L1141" t="s">
        <v>159</v>
      </c>
      <c r="M1141" t="s">
        <v>159</v>
      </c>
      <c r="N1141" t="s">
        <v>159</v>
      </c>
      <c r="O1141" t="s">
        <v>159</v>
      </c>
      <c r="P1141" t="s">
        <v>159</v>
      </c>
      <c r="Q1141" t="s">
        <v>159</v>
      </c>
    </row>
    <row r="1142" spans="1:17">
      <c r="A1142">
        <v>2320.6999999999998</v>
      </c>
      <c r="B1142">
        <v>2242.5</v>
      </c>
      <c r="C1142">
        <v>1547</v>
      </c>
      <c r="D1142">
        <v>1459</v>
      </c>
      <c r="E1142" t="s">
        <v>66</v>
      </c>
      <c r="F1142" t="b">
        <v>0</v>
      </c>
      <c r="G1142" t="b">
        <v>0</v>
      </c>
      <c r="H1142">
        <v>2.4</v>
      </c>
      <c r="I1142">
        <v>5.19</v>
      </c>
      <c r="J1142" t="s">
        <v>159</v>
      </c>
      <c r="K1142" t="s">
        <v>159</v>
      </c>
      <c r="L1142" t="s">
        <v>159</v>
      </c>
      <c r="M1142" t="s">
        <v>159</v>
      </c>
      <c r="N1142" t="s">
        <v>159</v>
      </c>
      <c r="O1142" t="s">
        <v>159</v>
      </c>
      <c r="P1142" t="s">
        <v>159</v>
      </c>
      <c r="Q1142" t="s">
        <v>159</v>
      </c>
    </row>
    <row r="1143" spans="1:17">
      <c r="A1143">
        <v>2323</v>
      </c>
      <c r="B1143">
        <v>2244.8000000000002</v>
      </c>
      <c r="C1143">
        <v>1549</v>
      </c>
      <c r="D1143">
        <v>1460</v>
      </c>
      <c r="E1143" t="s">
        <v>66</v>
      </c>
      <c r="F1143" t="b">
        <v>0</v>
      </c>
      <c r="G1143" t="b">
        <v>0</v>
      </c>
      <c r="H1143">
        <v>2.2999999999999998</v>
      </c>
      <c r="I1143">
        <v>5.19</v>
      </c>
      <c r="J1143" t="s">
        <v>159</v>
      </c>
      <c r="K1143" t="s">
        <v>159</v>
      </c>
      <c r="L1143" t="s">
        <v>159</v>
      </c>
      <c r="M1143" t="s">
        <v>159</v>
      </c>
      <c r="N1143" t="s">
        <v>159</v>
      </c>
      <c r="O1143" t="s">
        <v>159</v>
      </c>
      <c r="P1143" t="s">
        <v>159</v>
      </c>
      <c r="Q1143" t="s">
        <v>159</v>
      </c>
    </row>
    <row r="1144" spans="1:17">
      <c r="A1144">
        <v>2325</v>
      </c>
      <c r="B1144">
        <v>2246.8000000000002</v>
      </c>
      <c r="C1144">
        <v>1550</v>
      </c>
      <c r="D1144">
        <v>1461</v>
      </c>
      <c r="E1144" t="s">
        <v>66</v>
      </c>
      <c r="F1144" t="b">
        <v>0</v>
      </c>
      <c r="G1144" t="b">
        <v>0</v>
      </c>
      <c r="H1144">
        <v>2</v>
      </c>
      <c r="I1144">
        <v>5.19</v>
      </c>
      <c r="J1144" t="s">
        <v>159</v>
      </c>
      <c r="K1144" t="s">
        <v>159</v>
      </c>
      <c r="L1144" t="s">
        <v>159</v>
      </c>
      <c r="M1144" t="s">
        <v>159</v>
      </c>
      <c r="N1144" t="s">
        <v>159</v>
      </c>
      <c r="O1144" t="s">
        <v>159</v>
      </c>
      <c r="P1144" t="s">
        <v>159</v>
      </c>
      <c r="Q1144" t="s">
        <v>159</v>
      </c>
    </row>
    <row r="1145" spans="1:17">
      <c r="A1145">
        <v>2327.6</v>
      </c>
      <c r="B1145">
        <v>2249.4</v>
      </c>
      <c r="C1145">
        <v>1552</v>
      </c>
      <c r="D1145">
        <v>1462</v>
      </c>
      <c r="E1145" t="s">
        <v>66</v>
      </c>
      <c r="F1145" t="b">
        <v>0</v>
      </c>
      <c r="G1145" t="b">
        <v>0</v>
      </c>
      <c r="H1145">
        <v>2.6</v>
      </c>
      <c r="I1145">
        <v>5.19</v>
      </c>
      <c r="J1145" t="s">
        <v>159</v>
      </c>
      <c r="K1145" t="s">
        <v>159</v>
      </c>
      <c r="L1145" t="s">
        <v>159</v>
      </c>
      <c r="M1145" t="s">
        <v>159</v>
      </c>
      <c r="N1145" t="s">
        <v>159</v>
      </c>
      <c r="O1145" t="s">
        <v>159</v>
      </c>
      <c r="P1145" t="s">
        <v>159</v>
      </c>
      <c r="Q1145" t="s">
        <v>159</v>
      </c>
    </row>
    <row r="1146" spans="1:17">
      <c r="A1146">
        <v>2329.8000000000002</v>
      </c>
      <c r="B1146">
        <v>2251.6</v>
      </c>
      <c r="C1146">
        <v>1554</v>
      </c>
      <c r="D1146">
        <v>1463</v>
      </c>
      <c r="E1146" t="s">
        <v>66</v>
      </c>
      <c r="F1146" t="b">
        <v>0</v>
      </c>
      <c r="G1146" t="b">
        <v>0</v>
      </c>
      <c r="H1146">
        <v>2.2000000000000002</v>
      </c>
      <c r="I1146">
        <v>5.19</v>
      </c>
      <c r="J1146" t="s">
        <v>159</v>
      </c>
      <c r="K1146" t="s">
        <v>159</v>
      </c>
      <c r="L1146" t="s">
        <v>159</v>
      </c>
      <c r="M1146" t="s">
        <v>159</v>
      </c>
      <c r="N1146" t="s">
        <v>159</v>
      </c>
      <c r="O1146" t="s">
        <v>159</v>
      </c>
      <c r="P1146" t="s">
        <v>159</v>
      </c>
      <c r="Q1146" t="s">
        <v>159</v>
      </c>
    </row>
    <row r="1147" spans="1:17">
      <c r="A1147">
        <v>2331.9</v>
      </c>
      <c r="B1147">
        <v>2253.6999999999998</v>
      </c>
      <c r="C1147">
        <v>1555</v>
      </c>
      <c r="D1147">
        <v>1464</v>
      </c>
      <c r="E1147" t="s">
        <v>66</v>
      </c>
      <c r="F1147" t="b">
        <v>0</v>
      </c>
      <c r="G1147" t="b">
        <v>0</v>
      </c>
      <c r="H1147">
        <v>2.1</v>
      </c>
      <c r="I1147">
        <v>5.19</v>
      </c>
      <c r="J1147" t="s">
        <v>159</v>
      </c>
      <c r="K1147" t="s">
        <v>159</v>
      </c>
      <c r="L1147" t="s">
        <v>159</v>
      </c>
      <c r="M1147" t="s">
        <v>159</v>
      </c>
      <c r="N1147" t="s">
        <v>159</v>
      </c>
      <c r="O1147" t="s">
        <v>159</v>
      </c>
      <c r="P1147" t="s">
        <v>159</v>
      </c>
      <c r="Q1147" t="s">
        <v>159</v>
      </c>
    </row>
    <row r="1148" spans="1:17">
      <c r="A1148">
        <v>2333.6999999999998</v>
      </c>
      <c r="B1148">
        <v>2255.5</v>
      </c>
      <c r="C1148">
        <v>1557</v>
      </c>
      <c r="D1148">
        <v>1465</v>
      </c>
      <c r="E1148" t="s">
        <v>66</v>
      </c>
      <c r="F1148" t="b">
        <v>0</v>
      </c>
      <c r="G1148" t="b">
        <v>0</v>
      </c>
      <c r="H1148">
        <v>1.9</v>
      </c>
      <c r="I1148">
        <v>5.19</v>
      </c>
      <c r="J1148" t="s">
        <v>159</v>
      </c>
      <c r="K1148" t="s">
        <v>159</v>
      </c>
      <c r="L1148" t="s">
        <v>159</v>
      </c>
      <c r="M1148" t="s">
        <v>159</v>
      </c>
      <c r="N1148" t="s">
        <v>159</v>
      </c>
      <c r="O1148" t="s">
        <v>159</v>
      </c>
      <c r="P1148" t="s">
        <v>159</v>
      </c>
      <c r="Q1148" t="s">
        <v>159</v>
      </c>
    </row>
    <row r="1149" spans="1:17">
      <c r="A1149">
        <v>2336</v>
      </c>
      <c r="B1149">
        <v>2257.8000000000002</v>
      </c>
      <c r="C1149">
        <v>1558</v>
      </c>
      <c r="D1149">
        <v>1466</v>
      </c>
      <c r="E1149" t="s">
        <v>66</v>
      </c>
      <c r="F1149" t="b">
        <v>0</v>
      </c>
      <c r="G1149" t="b">
        <v>0</v>
      </c>
      <c r="H1149">
        <v>2.2999999999999998</v>
      </c>
      <c r="I1149">
        <v>5.19</v>
      </c>
      <c r="J1149" t="s">
        <v>159</v>
      </c>
      <c r="K1149" t="s">
        <v>159</v>
      </c>
      <c r="L1149" t="s">
        <v>159</v>
      </c>
      <c r="M1149" t="s">
        <v>159</v>
      </c>
      <c r="N1149" t="s">
        <v>159</v>
      </c>
      <c r="O1149" t="s">
        <v>159</v>
      </c>
      <c r="P1149" t="s">
        <v>159</v>
      </c>
      <c r="Q1149" t="s">
        <v>159</v>
      </c>
    </row>
    <row r="1150" spans="1:17">
      <c r="A1150">
        <v>2338.9</v>
      </c>
      <c r="B1150">
        <v>2260.6999999999998</v>
      </c>
      <c r="C1150">
        <v>1560</v>
      </c>
      <c r="D1150">
        <v>1467</v>
      </c>
      <c r="E1150" t="s">
        <v>66</v>
      </c>
      <c r="F1150" t="b">
        <v>0</v>
      </c>
      <c r="G1150" t="b">
        <v>0</v>
      </c>
      <c r="H1150">
        <v>2.9</v>
      </c>
      <c r="I1150">
        <v>5.19</v>
      </c>
      <c r="J1150" t="s">
        <v>159</v>
      </c>
      <c r="K1150" t="s">
        <v>159</v>
      </c>
      <c r="L1150" t="s">
        <v>159</v>
      </c>
      <c r="M1150" t="s">
        <v>159</v>
      </c>
      <c r="N1150" t="s">
        <v>159</v>
      </c>
      <c r="O1150" t="s">
        <v>159</v>
      </c>
      <c r="P1150" t="s">
        <v>159</v>
      </c>
      <c r="Q1150" t="s">
        <v>159</v>
      </c>
    </row>
    <row r="1151" spans="1:17">
      <c r="A1151">
        <v>2340.9</v>
      </c>
      <c r="B1151">
        <v>2262.6</v>
      </c>
      <c r="C1151">
        <v>1562</v>
      </c>
      <c r="D1151">
        <v>1468</v>
      </c>
      <c r="E1151" t="s">
        <v>66</v>
      </c>
      <c r="F1151" t="b">
        <v>0</v>
      </c>
      <c r="G1151" t="b">
        <v>0</v>
      </c>
      <c r="H1151">
        <v>1.9</v>
      </c>
      <c r="I1151" t="s">
        <v>159</v>
      </c>
      <c r="J1151" t="s">
        <v>159</v>
      </c>
      <c r="K1151" t="s">
        <v>159</v>
      </c>
      <c r="L1151" t="s">
        <v>159</v>
      </c>
      <c r="M1151" t="s">
        <v>159</v>
      </c>
      <c r="N1151" t="s">
        <v>159</v>
      </c>
      <c r="O1151" t="s">
        <v>159</v>
      </c>
      <c r="P1151" t="s">
        <v>159</v>
      </c>
      <c r="Q1151" t="s">
        <v>159</v>
      </c>
    </row>
    <row r="1152" spans="1:17">
      <c r="A1152">
        <v>2341.6999999999998</v>
      </c>
      <c r="B1152">
        <v>2263.5</v>
      </c>
      <c r="C1152">
        <v>1562</v>
      </c>
      <c r="D1152">
        <v>1469</v>
      </c>
      <c r="E1152" t="s">
        <v>66</v>
      </c>
      <c r="F1152" t="b">
        <v>0</v>
      </c>
      <c r="G1152" t="b">
        <v>0</v>
      </c>
      <c r="H1152">
        <v>0.8</v>
      </c>
      <c r="I1152" t="s">
        <v>159</v>
      </c>
      <c r="J1152" t="s">
        <v>159</v>
      </c>
      <c r="K1152" t="s">
        <v>159</v>
      </c>
      <c r="L1152" t="s">
        <v>159</v>
      </c>
      <c r="M1152" t="s">
        <v>159</v>
      </c>
      <c r="N1152" t="s">
        <v>159</v>
      </c>
      <c r="O1152" t="s">
        <v>159</v>
      </c>
      <c r="P1152" t="s">
        <v>159</v>
      </c>
      <c r="Q1152" t="s">
        <v>159</v>
      </c>
    </row>
    <row r="1153" spans="1:17">
      <c r="A1153">
        <v>2342.1999999999998</v>
      </c>
      <c r="B1153">
        <v>2264</v>
      </c>
      <c r="C1153">
        <v>1563</v>
      </c>
      <c r="D1153">
        <v>1470</v>
      </c>
      <c r="E1153" t="s">
        <v>66</v>
      </c>
      <c r="F1153" t="b">
        <v>0</v>
      </c>
      <c r="G1153" t="b">
        <v>0</v>
      </c>
      <c r="H1153">
        <v>0.6</v>
      </c>
      <c r="I1153" t="s">
        <v>159</v>
      </c>
      <c r="J1153" t="s">
        <v>159</v>
      </c>
      <c r="K1153" t="s">
        <v>159</v>
      </c>
      <c r="L1153" t="s">
        <v>159</v>
      </c>
      <c r="M1153" t="s">
        <v>159</v>
      </c>
      <c r="N1153" t="s">
        <v>159</v>
      </c>
      <c r="O1153" t="s">
        <v>159</v>
      </c>
      <c r="P1153" t="s">
        <v>159</v>
      </c>
      <c r="Q1153" t="s">
        <v>159</v>
      </c>
    </row>
    <row r="1154" spans="1:17">
      <c r="A1154">
        <v>2343.3000000000002</v>
      </c>
      <c r="B1154">
        <v>2265.1</v>
      </c>
      <c r="C1154">
        <v>1564</v>
      </c>
      <c r="D1154">
        <v>1471</v>
      </c>
      <c r="E1154" t="s">
        <v>66</v>
      </c>
      <c r="F1154" t="b">
        <v>0</v>
      </c>
      <c r="G1154" t="b">
        <v>0</v>
      </c>
      <c r="H1154">
        <v>1</v>
      </c>
      <c r="I1154" t="s">
        <v>159</v>
      </c>
      <c r="J1154" t="s">
        <v>159</v>
      </c>
      <c r="K1154" t="s">
        <v>159</v>
      </c>
      <c r="L1154" t="s">
        <v>159</v>
      </c>
      <c r="M1154" t="s">
        <v>159</v>
      </c>
      <c r="N1154" t="s">
        <v>159</v>
      </c>
      <c r="O1154" t="s">
        <v>159</v>
      </c>
      <c r="P1154" t="s">
        <v>159</v>
      </c>
      <c r="Q1154" t="s">
        <v>159</v>
      </c>
    </row>
    <row r="1155" spans="1:17">
      <c r="A1155">
        <v>2345.1</v>
      </c>
      <c r="B1155">
        <v>2266.9</v>
      </c>
      <c r="C1155">
        <v>1565</v>
      </c>
      <c r="D1155">
        <v>1472</v>
      </c>
      <c r="E1155" t="s">
        <v>66</v>
      </c>
      <c r="F1155" t="b">
        <v>0</v>
      </c>
      <c r="G1155" t="b">
        <v>0</v>
      </c>
      <c r="H1155">
        <v>1.8</v>
      </c>
      <c r="I1155" t="s">
        <v>159</v>
      </c>
      <c r="J1155" t="s">
        <v>159</v>
      </c>
      <c r="K1155" t="s">
        <v>159</v>
      </c>
      <c r="L1155" t="s">
        <v>159</v>
      </c>
      <c r="M1155" t="s">
        <v>159</v>
      </c>
      <c r="N1155" t="s">
        <v>159</v>
      </c>
      <c r="O1155" t="s">
        <v>159</v>
      </c>
      <c r="P1155" t="s">
        <v>159</v>
      </c>
      <c r="Q1155" t="s">
        <v>159</v>
      </c>
    </row>
    <row r="1156" spans="1:17">
      <c r="A1156">
        <v>2346.4</v>
      </c>
      <c r="B1156">
        <v>2268.1999999999998</v>
      </c>
      <c r="C1156">
        <v>1566</v>
      </c>
      <c r="D1156">
        <v>1473</v>
      </c>
      <c r="E1156" t="s">
        <v>66</v>
      </c>
      <c r="F1156" t="b">
        <v>0</v>
      </c>
      <c r="G1156" t="b">
        <v>0</v>
      </c>
      <c r="H1156">
        <v>1.3</v>
      </c>
      <c r="I1156" t="s">
        <v>159</v>
      </c>
      <c r="J1156" t="s">
        <v>159</v>
      </c>
      <c r="K1156" t="s">
        <v>159</v>
      </c>
      <c r="L1156" t="s">
        <v>159</v>
      </c>
      <c r="M1156" t="s">
        <v>159</v>
      </c>
      <c r="N1156" t="s">
        <v>159</v>
      </c>
      <c r="O1156" t="s">
        <v>159</v>
      </c>
      <c r="P1156" t="s">
        <v>159</v>
      </c>
      <c r="Q1156" t="s">
        <v>159</v>
      </c>
    </row>
    <row r="1157" spans="1:17">
      <c r="A1157">
        <v>2347.8000000000002</v>
      </c>
      <c r="B1157">
        <v>2269.5</v>
      </c>
      <c r="C1157">
        <v>1567</v>
      </c>
      <c r="D1157">
        <v>1474</v>
      </c>
      <c r="E1157" t="s">
        <v>66</v>
      </c>
      <c r="F1157" t="b">
        <v>0</v>
      </c>
      <c r="G1157" t="b">
        <v>0</v>
      </c>
      <c r="H1157">
        <v>1.3</v>
      </c>
      <c r="I1157" t="s">
        <v>159</v>
      </c>
      <c r="J1157" t="s">
        <v>159</v>
      </c>
      <c r="K1157" t="s">
        <v>159</v>
      </c>
      <c r="L1157" t="s">
        <v>159</v>
      </c>
      <c r="M1157" t="s">
        <v>159</v>
      </c>
      <c r="N1157" t="s">
        <v>159</v>
      </c>
      <c r="O1157" t="s">
        <v>159</v>
      </c>
      <c r="P1157" t="s">
        <v>159</v>
      </c>
      <c r="Q1157" t="s">
        <v>159</v>
      </c>
    </row>
    <row r="1158" spans="1:17">
      <c r="A1158">
        <v>2348.9</v>
      </c>
      <c r="B1158">
        <v>2270.6999999999998</v>
      </c>
      <c r="C1158">
        <v>1568</v>
      </c>
      <c r="D1158">
        <v>1475</v>
      </c>
      <c r="E1158" t="s">
        <v>66</v>
      </c>
      <c r="F1158" t="b">
        <v>0</v>
      </c>
      <c r="G1158" t="b">
        <v>0</v>
      </c>
      <c r="H1158">
        <v>1.1000000000000001</v>
      </c>
      <c r="I1158" t="s">
        <v>159</v>
      </c>
      <c r="J1158" t="s">
        <v>159</v>
      </c>
      <c r="K1158" t="s">
        <v>159</v>
      </c>
      <c r="L1158" t="s">
        <v>159</v>
      </c>
      <c r="M1158" t="s">
        <v>159</v>
      </c>
      <c r="N1158" t="s">
        <v>159</v>
      </c>
      <c r="O1158" t="s">
        <v>159</v>
      </c>
      <c r="P1158" t="s">
        <v>159</v>
      </c>
      <c r="Q1158" t="s">
        <v>159</v>
      </c>
    </row>
    <row r="1159" spans="1:17">
      <c r="A1159">
        <v>2350</v>
      </c>
      <c r="B1159">
        <v>2271.6999999999998</v>
      </c>
      <c r="C1159">
        <v>1568</v>
      </c>
      <c r="D1159">
        <v>1476</v>
      </c>
      <c r="E1159" t="s">
        <v>66</v>
      </c>
      <c r="F1159" t="b">
        <v>0</v>
      </c>
      <c r="G1159" t="b">
        <v>0</v>
      </c>
      <c r="H1159">
        <v>1.1000000000000001</v>
      </c>
      <c r="I1159" t="s">
        <v>159</v>
      </c>
      <c r="J1159" t="s">
        <v>159</v>
      </c>
      <c r="K1159" t="s">
        <v>159</v>
      </c>
      <c r="L1159" t="s">
        <v>159</v>
      </c>
      <c r="M1159" t="s">
        <v>159</v>
      </c>
      <c r="N1159" t="s">
        <v>159</v>
      </c>
      <c r="O1159" t="s">
        <v>159</v>
      </c>
      <c r="P1159" t="s">
        <v>159</v>
      </c>
      <c r="Q1159" t="s">
        <v>159</v>
      </c>
    </row>
    <row r="1160" spans="1:17">
      <c r="A1160">
        <v>2351.3000000000002</v>
      </c>
      <c r="B1160">
        <v>2273</v>
      </c>
      <c r="C1160">
        <v>1569</v>
      </c>
      <c r="D1160">
        <v>1477</v>
      </c>
      <c r="E1160" t="s">
        <v>66</v>
      </c>
      <c r="F1160" t="b">
        <v>0</v>
      </c>
      <c r="G1160" t="b">
        <v>0</v>
      </c>
      <c r="H1160">
        <v>1.3</v>
      </c>
      <c r="I1160" t="s">
        <v>159</v>
      </c>
      <c r="J1160" t="s">
        <v>159</v>
      </c>
      <c r="K1160" t="s">
        <v>159</v>
      </c>
      <c r="L1160" t="s">
        <v>159</v>
      </c>
      <c r="M1160" t="s">
        <v>159</v>
      </c>
      <c r="N1160" t="s">
        <v>159</v>
      </c>
      <c r="O1160" t="s">
        <v>159</v>
      </c>
      <c r="P1160" t="s">
        <v>159</v>
      </c>
      <c r="Q1160" t="s">
        <v>159</v>
      </c>
    </row>
    <row r="1161" spans="1:17">
      <c r="A1161">
        <v>2352.8000000000002</v>
      </c>
      <c r="B1161">
        <v>2274.5</v>
      </c>
      <c r="C1161">
        <v>1570</v>
      </c>
      <c r="D1161">
        <v>1478</v>
      </c>
      <c r="E1161" t="s">
        <v>66</v>
      </c>
      <c r="F1161" t="b">
        <v>0</v>
      </c>
      <c r="G1161" t="b">
        <v>0</v>
      </c>
      <c r="H1161">
        <v>1.5</v>
      </c>
      <c r="I1161" t="s">
        <v>159</v>
      </c>
      <c r="J1161" t="s">
        <v>159</v>
      </c>
      <c r="K1161" t="s">
        <v>159</v>
      </c>
      <c r="L1161" t="s">
        <v>159</v>
      </c>
      <c r="M1161" t="s">
        <v>159</v>
      </c>
      <c r="N1161" t="s">
        <v>159</v>
      </c>
      <c r="O1161" t="s">
        <v>159</v>
      </c>
      <c r="P1161" t="s">
        <v>159</v>
      </c>
      <c r="Q1161" t="s">
        <v>159</v>
      </c>
    </row>
    <row r="1162" spans="1:17">
      <c r="A1162">
        <v>2354.6</v>
      </c>
      <c r="B1162">
        <v>2276.4</v>
      </c>
      <c r="C1162">
        <v>1572</v>
      </c>
      <c r="D1162">
        <v>1479</v>
      </c>
      <c r="E1162" t="s">
        <v>66</v>
      </c>
      <c r="F1162" t="b">
        <v>0</v>
      </c>
      <c r="G1162" t="b">
        <v>0</v>
      </c>
      <c r="H1162">
        <v>1.8</v>
      </c>
      <c r="I1162" t="s">
        <v>159</v>
      </c>
      <c r="J1162">
        <v>0.91200000000000003</v>
      </c>
      <c r="K1162">
        <v>3.4</v>
      </c>
      <c r="L1162">
        <v>7.23</v>
      </c>
      <c r="M1162">
        <v>14.1</v>
      </c>
      <c r="N1162">
        <v>23.9</v>
      </c>
      <c r="O1162">
        <v>15.86</v>
      </c>
      <c r="P1162">
        <v>83.46</v>
      </c>
      <c r="Q1162">
        <v>0.69</v>
      </c>
    </row>
    <row r="1163" spans="1:17">
      <c r="A1163">
        <v>2356.1999999999998</v>
      </c>
      <c r="B1163">
        <v>2278</v>
      </c>
      <c r="C1163">
        <v>1573</v>
      </c>
      <c r="D1163">
        <v>1480</v>
      </c>
      <c r="E1163" t="s">
        <v>66</v>
      </c>
      <c r="F1163" t="b">
        <v>0</v>
      </c>
      <c r="G1163" t="b">
        <v>0</v>
      </c>
      <c r="H1163">
        <v>1.6</v>
      </c>
      <c r="I1163" t="s">
        <v>159</v>
      </c>
      <c r="J1163">
        <v>0.91200000000000003</v>
      </c>
      <c r="K1163">
        <v>3.4</v>
      </c>
      <c r="L1163">
        <v>7.23</v>
      </c>
      <c r="M1163">
        <v>14.1</v>
      </c>
      <c r="N1163">
        <v>23.9</v>
      </c>
      <c r="O1163">
        <v>15.86</v>
      </c>
      <c r="P1163">
        <v>83.46</v>
      </c>
      <c r="Q1163">
        <v>0.69</v>
      </c>
    </row>
    <row r="1164" spans="1:17">
      <c r="A1164">
        <v>2358.5</v>
      </c>
      <c r="B1164">
        <v>2280.3000000000002</v>
      </c>
      <c r="C1164">
        <v>1574</v>
      </c>
      <c r="D1164">
        <v>1481</v>
      </c>
      <c r="E1164" t="s">
        <v>66</v>
      </c>
      <c r="F1164" t="b">
        <v>0</v>
      </c>
      <c r="G1164" t="b">
        <v>0</v>
      </c>
      <c r="H1164">
        <v>2.2999999999999998</v>
      </c>
      <c r="I1164" t="s">
        <v>159</v>
      </c>
      <c r="J1164">
        <v>0.91200000000000003</v>
      </c>
      <c r="K1164">
        <v>3.4</v>
      </c>
      <c r="L1164">
        <v>7.23</v>
      </c>
      <c r="M1164">
        <v>14.1</v>
      </c>
      <c r="N1164">
        <v>23.9</v>
      </c>
      <c r="O1164">
        <v>15.86</v>
      </c>
      <c r="P1164">
        <v>83.46</v>
      </c>
      <c r="Q1164">
        <v>0.69</v>
      </c>
    </row>
    <row r="1165" spans="1:17">
      <c r="A1165">
        <v>2360.6</v>
      </c>
      <c r="B1165">
        <v>2282.4</v>
      </c>
      <c r="C1165">
        <v>1576</v>
      </c>
      <c r="D1165">
        <v>1482</v>
      </c>
      <c r="E1165" t="s">
        <v>66</v>
      </c>
      <c r="F1165" t="b">
        <v>0</v>
      </c>
      <c r="G1165" t="b">
        <v>0</v>
      </c>
      <c r="H1165">
        <v>2.1</v>
      </c>
      <c r="I1165" t="s">
        <v>159</v>
      </c>
      <c r="J1165">
        <v>5.89</v>
      </c>
      <c r="K1165">
        <v>9.17</v>
      </c>
      <c r="L1165">
        <v>15.1</v>
      </c>
      <c r="M1165">
        <v>24.9</v>
      </c>
      <c r="N1165">
        <v>39.5</v>
      </c>
      <c r="O1165">
        <v>5.0000000000000001E-4</v>
      </c>
      <c r="P1165">
        <v>96.78</v>
      </c>
      <c r="Q1165">
        <v>3.22</v>
      </c>
    </row>
    <row r="1166" spans="1:17">
      <c r="A1166">
        <v>2361.6999999999998</v>
      </c>
      <c r="B1166">
        <v>2283.4</v>
      </c>
      <c r="C1166">
        <v>1577</v>
      </c>
      <c r="D1166">
        <v>1483</v>
      </c>
      <c r="E1166" t="s">
        <v>66</v>
      </c>
      <c r="F1166" t="b">
        <v>0</v>
      </c>
      <c r="G1166" t="b">
        <v>0</v>
      </c>
      <c r="H1166">
        <v>1</v>
      </c>
      <c r="I1166" t="s">
        <v>159</v>
      </c>
      <c r="J1166">
        <v>5.89</v>
      </c>
      <c r="K1166">
        <v>9.17</v>
      </c>
      <c r="L1166">
        <v>15.1</v>
      </c>
      <c r="M1166">
        <v>24.9</v>
      </c>
      <c r="N1166">
        <v>39.5</v>
      </c>
      <c r="O1166">
        <v>5.0000000000000001E-4</v>
      </c>
      <c r="P1166">
        <v>96.78</v>
      </c>
      <c r="Q1166">
        <v>3.22</v>
      </c>
    </row>
    <row r="1167" spans="1:17">
      <c r="A1167">
        <v>2363.1</v>
      </c>
      <c r="B1167">
        <v>2284.9</v>
      </c>
      <c r="C1167">
        <v>1578</v>
      </c>
      <c r="D1167">
        <v>1484</v>
      </c>
      <c r="E1167" t="s">
        <v>66</v>
      </c>
      <c r="F1167" t="b">
        <v>0</v>
      </c>
      <c r="G1167" t="b">
        <v>0</v>
      </c>
      <c r="H1167">
        <v>1.4</v>
      </c>
      <c r="I1167" t="s">
        <v>159</v>
      </c>
      <c r="J1167">
        <v>5.89</v>
      </c>
      <c r="K1167">
        <v>9.17</v>
      </c>
      <c r="L1167">
        <v>15.1</v>
      </c>
      <c r="M1167">
        <v>24.9</v>
      </c>
      <c r="N1167">
        <v>39.5</v>
      </c>
      <c r="O1167">
        <v>5.0000000000000001E-4</v>
      </c>
      <c r="P1167">
        <v>96.78</v>
      </c>
      <c r="Q1167">
        <v>3.22</v>
      </c>
    </row>
    <row r="1168" spans="1:17">
      <c r="A1168">
        <v>2366</v>
      </c>
      <c r="B1168">
        <v>2287.8000000000002</v>
      </c>
      <c r="C1168">
        <v>1580</v>
      </c>
      <c r="D1168">
        <v>1485</v>
      </c>
      <c r="E1168" t="s">
        <v>66</v>
      </c>
      <c r="F1168" t="b">
        <v>0</v>
      </c>
      <c r="G1168" t="b">
        <v>0</v>
      </c>
      <c r="H1168">
        <v>2.9</v>
      </c>
      <c r="I1168" t="s">
        <v>159</v>
      </c>
      <c r="J1168">
        <v>5.89</v>
      </c>
      <c r="K1168">
        <v>9.17</v>
      </c>
      <c r="L1168">
        <v>15.1</v>
      </c>
      <c r="M1168">
        <v>24.9</v>
      </c>
      <c r="N1168">
        <v>39.5</v>
      </c>
      <c r="O1168">
        <v>5.0000000000000001E-4</v>
      </c>
      <c r="P1168">
        <v>96.78</v>
      </c>
      <c r="Q1168">
        <v>3.22</v>
      </c>
    </row>
    <row r="1169" spans="1:17">
      <c r="A1169">
        <v>2368.1999999999998</v>
      </c>
      <c r="B1169">
        <v>2290</v>
      </c>
      <c r="C1169">
        <v>1581</v>
      </c>
      <c r="D1169">
        <v>1486</v>
      </c>
      <c r="E1169" t="s">
        <v>66</v>
      </c>
      <c r="F1169" t="b">
        <v>0</v>
      </c>
      <c r="G1169" t="b">
        <v>0</v>
      </c>
      <c r="H1169">
        <v>2.2000000000000002</v>
      </c>
      <c r="I1169" t="s">
        <v>159</v>
      </c>
      <c r="J1169">
        <v>5.89</v>
      </c>
      <c r="K1169">
        <v>9.17</v>
      </c>
      <c r="L1169">
        <v>15.1</v>
      </c>
      <c r="M1169">
        <v>24.9</v>
      </c>
      <c r="N1169">
        <v>39.5</v>
      </c>
      <c r="O1169">
        <v>5.0000000000000001E-4</v>
      </c>
      <c r="P1169">
        <v>96.78</v>
      </c>
      <c r="Q1169">
        <v>3.22</v>
      </c>
    </row>
    <row r="1170" spans="1:17">
      <c r="A1170">
        <v>2375.8000000000002</v>
      </c>
      <c r="B1170">
        <v>2297.6</v>
      </c>
      <c r="C1170">
        <v>1587</v>
      </c>
      <c r="D1170">
        <v>1490</v>
      </c>
      <c r="E1170" t="s">
        <v>66</v>
      </c>
      <c r="F1170" t="b">
        <v>0</v>
      </c>
      <c r="G1170" t="b">
        <v>1</v>
      </c>
      <c r="H1170">
        <v>7.6</v>
      </c>
      <c r="I1170">
        <v>2.133</v>
      </c>
      <c r="J1170">
        <v>5.89</v>
      </c>
      <c r="K1170">
        <v>9.17</v>
      </c>
      <c r="L1170">
        <v>15.1</v>
      </c>
      <c r="M1170">
        <v>24.9</v>
      </c>
      <c r="N1170">
        <v>39.5</v>
      </c>
      <c r="O1170">
        <v>5.0000000000000001E-4</v>
      </c>
      <c r="P1170">
        <v>96.78</v>
      </c>
      <c r="Q1170">
        <v>3.22</v>
      </c>
    </row>
    <row r="1171" spans="1:17">
      <c r="A1171">
        <v>2377.8000000000002</v>
      </c>
      <c r="B1171">
        <v>2299.6</v>
      </c>
      <c r="C1171">
        <v>1588</v>
      </c>
      <c r="D1171">
        <v>1491</v>
      </c>
      <c r="E1171" t="s">
        <v>66</v>
      </c>
      <c r="F1171" t="b">
        <v>0</v>
      </c>
      <c r="G1171" t="b">
        <v>0</v>
      </c>
      <c r="H1171">
        <v>2</v>
      </c>
      <c r="I1171">
        <v>2.133</v>
      </c>
      <c r="J1171">
        <v>5.89</v>
      </c>
      <c r="K1171">
        <v>9.17</v>
      </c>
      <c r="L1171">
        <v>15.1</v>
      </c>
      <c r="M1171">
        <v>24.9</v>
      </c>
      <c r="N1171">
        <v>39.5</v>
      </c>
      <c r="O1171">
        <v>5.0000000000000001E-4</v>
      </c>
      <c r="P1171">
        <v>96.78</v>
      </c>
      <c r="Q1171">
        <v>3.22</v>
      </c>
    </row>
    <row r="1172" spans="1:17">
      <c r="A1172">
        <v>2379.9</v>
      </c>
      <c r="B1172">
        <v>2301.6999999999998</v>
      </c>
      <c r="C1172">
        <v>1590</v>
      </c>
      <c r="D1172">
        <v>1492</v>
      </c>
      <c r="E1172" t="s">
        <v>66</v>
      </c>
      <c r="F1172" t="b">
        <v>0</v>
      </c>
      <c r="G1172" t="b">
        <v>0</v>
      </c>
      <c r="H1172">
        <v>2.1</v>
      </c>
      <c r="I1172">
        <v>2.133</v>
      </c>
      <c r="J1172">
        <v>5.89</v>
      </c>
      <c r="K1172">
        <v>9.17</v>
      </c>
      <c r="L1172">
        <v>15.1</v>
      </c>
      <c r="M1172">
        <v>24.9</v>
      </c>
      <c r="N1172">
        <v>39.5</v>
      </c>
      <c r="O1172">
        <v>5.0000000000000001E-4</v>
      </c>
      <c r="P1172">
        <v>96.78</v>
      </c>
      <c r="Q1172">
        <v>3.22</v>
      </c>
    </row>
    <row r="1173" spans="1:17">
      <c r="A1173">
        <v>2382.1</v>
      </c>
      <c r="B1173">
        <v>2303.8000000000002</v>
      </c>
      <c r="C1173">
        <v>1591</v>
      </c>
      <c r="D1173">
        <v>1493</v>
      </c>
      <c r="E1173" t="s">
        <v>66</v>
      </c>
      <c r="F1173" t="b">
        <v>0</v>
      </c>
      <c r="G1173" t="b">
        <v>0</v>
      </c>
      <c r="H1173">
        <v>2.1</v>
      </c>
      <c r="I1173">
        <v>2.133</v>
      </c>
      <c r="J1173" t="s">
        <v>159</v>
      </c>
      <c r="K1173" t="s">
        <v>159</v>
      </c>
      <c r="L1173" t="s">
        <v>159</v>
      </c>
      <c r="M1173" t="s">
        <v>159</v>
      </c>
      <c r="N1173" t="s">
        <v>159</v>
      </c>
      <c r="O1173" t="s">
        <v>159</v>
      </c>
      <c r="P1173" t="s">
        <v>159</v>
      </c>
      <c r="Q1173" t="s">
        <v>159</v>
      </c>
    </row>
    <row r="1174" spans="1:17">
      <c r="A1174">
        <v>2383.6</v>
      </c>
      <c r="B1174">
        <v>2305.4</v>
      </c>
      <c r="C1174">
        <v>1593</v>
      </c>
      <c r="D1174">
        <v>1494</v>
      </c>
      <c r="E1174" t="s">
        <v>66</v>
      </c>
      <c r="F1174" t="b">
        <v>0</v>
      </c>
      <c r="G1174" t="b">
        <v>0</v>
      </c>
      <c r="H1174">
        <v>1.5</v>
      </c>
      <c r="I1174">
        <v>2.133</v>
      </c>
      <c r="J1174" t="s">
        <v>159</v>
      </c>
      <c r="K1174" t="s">
        <v>159</v>
      </c>
      <c r="L1174" t="s">
        <v>159</v>
      </c>
      <c r="M1174" t="s">
        <v>159</v>
      </c>
      <c r="N1174" t="s">
        <v>159</v>
      </c>
      <c r="O1174" t="s">
        <v>159</v>
      </c>
      <c r="P1174" t="s">
        <v>159</v>
      </c>
      <c r="Q1174" t="s">
        <v>159</v>
      </c>
    </row>
    <row r="1175" spans="1:17">
      <c r="A1175">
        <v>2385.6999999999998</v>
      </c>
      <c r="B1175">
        <v>2307.5</v>
      </c>
      <c r="C1175">
        <v>1594</v>
      </c>
      <c r="D1175">
        <v>1495</v>
      </c>
      <c r="E1175" t="s">
        <v>66</v>
      </c>
      <c r="F1175" t="b">
        <v>0</v>
      </c>
      <c r="G1175" t="b">
        <v>0</v>
      </c>
      <c r="H1175">
        <v>2.1</v>
      </c>
      <c r="I1175">
        <v>2.133</v>
      </c>
      <c r="J1175" t="s">
        <v>159</v>
      </c>
      <c r="K1175" t="s">
        <v>159</v>
      </c>
      <c r="L1175" t="s">
        <v>159</v>
      </c>
      <c r="M1175" t="s">
        <v>159</v>
      </c>
      <c r="N1175" t="s">
        <v>159</v>
      </c>
      <c r="O1175" t="s">
        <v>159</v>
      </c>
      <c r="P1175" t="s">
        <v>159</v>
      </c>
      <c r="Q1175" t="s">
        <v>159</v>
      </c>
    </row>
    <row r="1176" spans="1:17">
      <c r="A1176">
        <v>2387</v>
      </c>
      <c r="B1176">
        <v>2308.6999999999998</v>
      </c>
      <c r="C1176">
        <v>1595</v>
      </c>
      <c r="D1176">
        <v>1496</v>
      </c>
      <c r="E1176" t="s">
        <v>66</v>
      </c>
      <c r="F1176" t="b">
        <v>0</v>
      </c>
      <c r="G1176" t="b">
        <v>0</v>
      </c>
      <c r="H1176">
        <v>1.2</v>
      </c>
      <c r="I1176">
        <v>2.133</v>
      </c>
      <c r="J1176" t="s">
        <v>159</v>
      </c>
      <c r="K1176" t="s">
        <v>159</v>
      </c>
      <c r="L1176" t="s">
        <v>159</v>
      </c>
      <c r="M1176" t="s">
        <v>159</v>
      </c>
      <c r="N1176" t="s">
        <v>159</v>
      </c>
      <c r="O1176" t="s">
        <v>159</v>
      </c>
      <c r="P1176" t="s">
        <v>159</v>
      </c>
      <c r="Q1176" t="s">
        <v>159</v>
      </c>
    </row>
    <row r="1177" spans="1:17">
      <c r="A1177">
        <v>2389.6999999999998</v>
      </c>
      <c r="B1177">
        <v>2311.4</v>
      </c>
      <c r="C1177">
        <v>1597</v>
      </c>
      <c r="D1177">
        <v>1497</v>
      </c>
      <c r="E1177" t="s">
        <v>66</v>
      </c>
      <c r="F1177" t="b">
        <v>0</v>
      </c>
      <c r="G1177" t="b">
        <v>0</v>
      </c>
      <c r="H1177">
        <v>2.7</v>
      </c>
      <c r="I1177">
        <v>2.133</v>
      </c>
      <c r="J1177" t="s">
        <v>159</v>
      </c>
      <c r="K1177" t="s">
        <v>159</v>
      </c>
      <c r="L1177" t="s">
        <v>159</v>
      </c>
      <c r="M1177" t="s">
        <v>159</v>
      </c>
      <c r="N1177" t="s">
        <v>159</v>
      </c>
      <c r="O1177" t="s">
        <v>159</v>
      </c>
      <c r="P1177" t="s">
        <v>159</v>
      </c>
      <c r="Q1177" t="s">
        <v>159</v>
      </c>
    </row>
    <row r="1178" spans="1:17">
      <c r="A1178">
        <v>2391.5</v>
      </c>
      <c r="B1178">
        <v>2313.3000000000002</v>
      </c>
      <c r="C1178">
        <v>1598</v>
      </c>
      <c r="D1178">
        <v>1498</v>
      </c>
      <c r="E1178" t="s">
        <v>66</v>
      </c>
      <c r="F1178" t="b">
        <v>0</v>
      </c>
      <c r="G1178" t="b">
        <v>0</v>
      </c>
      <c r="H1178">
        <v>1.8</v>
      </c>
      <c r="I1178">
        <v>2.133</v>
      </c>
      <c r="J1178" t="s">
        <v>159</v>
      </c>
      <c r="K1178" t="s">
        <v>159</v>
      </c>
      <c r="L1178" t="s">
        <v>159</v>
      </c>
      <c r="M1178" t="s">
        <v>159</v>
      </c>
      <c r="N1178" t="s">
        <v>159</v>
      </c>
      <c r="O1178" t="s">
        <v>159</v>
      </c>
      <c r="P1178" t="s">
        <v>159</v>
      </c>
      <c r="Q1178" t="s">
        <v>159</v>
      </c>
    </row>
    <row r="1179" spans="1:17">
      <c r="A1179">
        <v>2393.1999999999998</v>
      </c>
      <c r="B1179">
        <v>2315</v>
      </c>
      <c r="C1179">
        <v>1599</v>
      </c>
      <c r="D1179">
        <v>1499</v>
      </c>
      <c r="E1179" t="s">
        <v>66</v>
      </c>
      <c r="F1179" t="b">
        <v>0</v>
      </c>
      <c r="G1179" t="b">
        <v>0</v>
      </c>
      <c r="H1179">
        <v>1.7</v>
      </c>
      <c r="I1179">
        <v>2.133</v>
      </c>
      <c r="J1179" t="s">
        <v>159</v>
      </c>
      <c r="K1179" t="s">
        <v>159</v>
      </c>
      <c r="L1179" t="s">
        <v>159</v>
      </c>
      <c r="M1179" t="s">
        <v>159</v>
      </c>
      <c r="N1179" t="s">
        <v>159</v>
      </c>
      <c r="O1179" t="s">
        <v>159</v>
      </c>
      <c r="P1179" t="s">
        <v>159</v>
      </c>
      <c r="Q1179" t="s">
        <v>159</v>
      </c>
    </row>
    <row r="1180" spans="1:17">
      <c r="A1180">
        <v>2395.1</v>
      </c>
      <c r="B1180">
        <v>2316.9</v>
      </c>
      <c r="C1180">
        <v>1601</v>
      </c>
      <c r="D1180">
        <v>1500</v>
      </c>
      <c r="E1180" t="s">
        <v>66</v>
      </c>
      <c r="F1180" t="b">
        <v>0</v>
      </c>
      <c r="G1180" t="b">
        <v>0</v>
      </c>
      <c r="H1180">
        <v>1.9</v>
      </c>
      <c r="I1180">
        <v>2.133</v>
      </c>
      <c r="J1180" t="s">
        <v>159</v>
      </c>
      <c r="K1180" t="s">
        <v>159</v>
      </c>
      <c r="L1180" t="s">
        <v>159</v>
      </c>
      <c r="M1180" t="s">
        <v>159</v>
      </c>
      <c r="N1180" t="s">
        <v>159</v>
      </c>
      <c r="O1180" t="s">
        <v>159</v>
      </c>
      <c r="P1180" t="s">
        <v>159</v>
      </c>
      <c r="Q1180" t="s">
        <v>159</v>
      </c>
    </row>
    <row r="1181" spans="1:17">
      <c r="A1181">
        <v>2395.9</v>
      </c>
      <c r="B1181">
        <v>2317.6999999999998</v>
      </c>
      <c r="C1181">
        <v>1601</v>
      </c>
      <c r="D1181">
        <v>1501</v>
      </c>
      <c r="E1181" t="s">
        <v>66</v>
      </c>
      <c r="F1181" t="b">
        <v>0</v>
      </c>
      <c r="G1181" t="b">
        <v>0</v>
      </c>
      <c r="H1181">
        <v>0.8</v>
      </c>
      <c r="I1181" t="s">
        <v>159</v>
      </c>
      <c r="J1181" t="s">
        <v>159</v>
      </c>
      <c r="K1181" t="s">
        <v>159</v>
      </c>
      <c r="L1181" t="s">
        <v>159</v>
      </c>
      <c r="M1181" t="s">
        <v>159</v>
      </c>
      <c r="N1181" t="s">
        <v>159</v>
      </c>
      <c r="O1181" t="s">
        <v>159</v>
      </c>
      <c r="P1181" t="s">
        <v>159</v>
      </c>
      <c r="Q1181" t="s">
        <v>159</v>
      </c>
    </row>
    <row r="1182" spans="1:17">
      <c r="A1182">
        <v>2398</v>
      </c>
      <c r="B1182">
        <v>2319.6999999999998</v>
      </c>
      <c r="C1182">
        <v>1603</v>
      </c>
      <c r="D1182">
        <v>1502</v>
      </c>
      <c r="E1182" t="s">
        <v>66</v>
      </c>
      <c r="F1182" t="b">
        <v>0</v>
      </c>
      <c r="G1182" t="b">
        <v>0</v>
      </c>
      <c r="H1182">
        <v>2.1</v>
      </c>
      <c r="I1182" t="s">
        <v>159</v>
      </c>
      <c r="J1182" t="s">
        <v>159</v>
      </c>
      <c r="K1182" t="s">
        <v>159</v>
      </c>
      <c r="L1182" t="s">
        <v>159</v>
      </c>
      <c r="M1182" t="s">
        <v>159</v>
      </c>
      <c r="N1182" t="s">
        <v>159</v>
      </c>
      <c r="O1182" t="s">
        <v>159</v>
      </c>
      <c r="P1182" t="s">
        <v>159</v>
      </c>
      <c r="Q1182" t="s">
        <v>159</v>
      </c>
    </row>
    <row r="1183" spans="1:17">
      <c r="A1183">
        <v>2399.1999999999998</v>
      </c>
      <c r="B1183">
        <v>2320.9</v>
      </c>
      <c r="C1183">
        <v>1604</v>
      </c>
      <c r="D1183">
        <v>1503</v>
      </c>
      <c r="E1183" t="s">
        <v>66</v>
      </c>
      <c r="F1183" t="b">
        <v>0</v>
      </c>
      <c r="G1183" t="b">
        <v>0</v>
      </c>
      <c r="H1183">
        <v>1.2</v>
      </c>
      <c r="I1183" t="s">
        <v>159</v>
      </c>
      <c r="J1183" t="s">
        <v>159</v>
      </c>
      <c r="K1183" t="s">
        <v>159</v>
      </c>
      <c r="L1183" t="s">
        <v>159</v>
      </c>
      <c r="M1183" t="s">
        <v>159</v>
      </c>
      <c r="N1183" t="s">
        <v>159</v>
      </c>
      <c r="O1183" t="s">
        <v>159</v>
      </c>
      <c r="P1183" t="s">
        <v>159</v>
      </c>
      <c r="Q1183" t="s">
        <v>159</v>
      </c>
    </row>
    <row r="1184" spans="1:17">
      <c r="A1184">
        <v>2401.4</v>
      </c>
      <c r="B1184">
        <v>2323.1999999999998</v>
      </c>
      <c r="C1184">
        <v>1605</v>
      </c>
      <c r="D1184">
        <v>1504</v>
      </c>
      <c r="E1184" t="s">
        <v>66</v>
      </c>
      <c r="F1184" t="b">
        <v>0</v>
      </c>
      <c r="G1184" t="b">
        <v>0</v>
      </c>
      <c r="H1184">
        <v>2.2000000000000002</v>
      </c>
      <c r="I1184" t="s">
        <v>159</v>
      </c>
      <c r="J1184">
        <v>8.82</v>
      </c>
      <c r="K1184">
        <v>17.3</v>
      </c>
      <c r="L1184">
        <v>34.9</v>
      </c>
      <c r="M1184">
        <v>61.2</v>
      </c>
      <c r="N1184">
        <v>91</v>
      </c>
      <c r="O1184">
        <v>6.9999999999999999E-4</v>
      </c>
      <c r="P1184">
        <v>76.239999999999995</v>
      </c>
      <c r="Q1184">
        <v>23.76</v>
      </c>
    </row>
    <row r="1185" spans="1:17">
      <c r="A1185">
        <v>2404</v>
      </c>
      <c r="B1185">
        <v>2325.8000000000002</v>
      </c>
      <c r="C1185">
        <v>1607</v>
      </c>
      <c r="D1185">
        <v>1505</v>
      </c>
      <c r="E1185" t="s">
        <v>66</v>
      </c>
      <c r="F1185" t="b">
        <v>0</v>
      </c>
      <c r="G1185" t="b">
        <v>0</v>
      </c>
      <c r="H1185">
        <v>2.6</v>
      </c>
      <c r="I1185" t="s">
        <v>159</v>
      </c>
      <c r="J1185">
        <v>8.82</v>
      </c>
      <c r="K1185">
        <v>17.3</v>
      </c>
      <c r="L1185">
        <v>34.9</v>
      </c>
      <c r="M1185">
        <v>61.2</v>
      </c>
      <c r="N1185">
        <v>91</v>
      </c>
      <c r="O1185">
        <v>6.9999999999999999E-4</v>
      </c>
      <c r="P1185">
        <v>76.239999999999995</v>
      </c>
      <c r="Q1185">
        <v>23.76</v>
      </c>
    </row>
    <row r="1186" spans="1:17">
      <c r="A1186">
        <v>2405.9</v>
      </c>
      <c r="B1186">
        <v>2327.6999999999998</v>
      </c>
      <c r="C1186">
        <v>1609</v>
      </c>
      <c r="D1186">
        <v>1506</v>
      </c>
      <c r="E1186" t="s">
        <v>66</v>
      </c>
      <c r="F1186" t="b">
        <v>0</v>
      </c>
      <c r="G1186" t="b">
        <v>0</v>
      </c>
      <c r="H1186">
        <v>1.9</v>
      </c>
      <c r="I1186" t="s">
        <v>159</v>
      </c>
      <c r="J1186">
        <v>8.82</v>
      </c>
      <c r="K1186">
        <v>17.3</v>
      </c>
      <c r="L1186">
        <v>34.9</v>
      </c>
      <c r="M1186">
        <v>61.2</v>
      </c>
      <c r="N1186">
        <v>91</v>
      </c>
      <c r="O1186">
        <v>6.9999999999999999E-4</v>
      </c>
      <c r="P1186">
        <v>76.239999999999995</v>
      </c>
      <c r="Q1186">
        <v>23.76</v>
      </c>
    </row>
    <row r="1187" spans="1:17">
      <c r="A1187">
        <v>2407</v>
      </c>
      <c r="B1187">
        <v>2328.6999999999998</v>
      </c>
      <c r="C1187">
        <v>1609</v>
      </c>
      <c r="D1187">
        <v>1507</v>
      </c>
      <c r="E1187" t="s">
        <v>66</v>
      </c>
      <c r="F1187" t="b">
        <v>0</v>
      </c>
      <c r="G1187" t="b">
        <v>0</v>
      </c>
      <c r="H1187">
        <v>1</v>
      </c>
      <c r="I1187" t="s">
        <v>159</v>
      </c>
      <c r="J1187">
        <v>8.82</v>
      </c>
      <c r="K1187">
        <v>17.3</v>
      </c>
      <c r="L1187">
        <v>34.9</v>
      </c>
      <c r="M1187">
        <v>61.2</v>
      </c>
      <c r="N1187">
        <v>91</v>
      </c>
      <c r="O1187">
        <v>6.9999999999999999E-4</v>
      </c>
      <c r="P1187">
        <v>76.239999999999995</v>
      </c>
      <c r="Q1187">
        <v>23.76</v>
      </c>
    </row>
    <row r="1188" spans="1:17">
      <c r="A1188">
        <v>2409.4</v>
      </c>
      <c r="B1188">
        <v>2331.1</v>
      </c>
      <c r="C1188">
        <v>1611</v>
      </c>
      <c r="D1188">
        <v>1508</v>
      </c>
      <c r="E1188" t="s">
        <v>66</v>
      </c>
      <c r="F1188" t="b">
        <v>0</v>
      </c>
      <c r="G1188" t="b">
        <v>0</v>
      </c>
      <c r="H1188">
        <v>2.4</v>
      </c>
      <c r="I1188" t="s">
        <v>159</v>
      </c>
      <c r="J1188">
        <v>8.82</v>
      </c>
      <c r="K1188">
        <v>17.3</v>
      </c>
      <c r="L1188">
        <v>34.9</v>
      </c>
      <c r="M1188">
        <v>61.2</v>
      </c>
      <c r="N1188">
        <v>91</v>
      </c>
      <c r="O1188">
        <v>6.9999999999999999E-4</v>
      </c>
      <c r="P1188">
        <v>76.239999999999995</v>
      </c>
      <c r="Q1188">
        <v>23.76</v>
      </c>
    </row>
    <row r="1189" spans="1:17">
      <c r="A1189">
        <v>2410.9</v>
      </c>
      <c r="B1189">
        <v>2332.6</v>
      </c>
      <c r="C1189">
        <v>1612</v>
      </c>
      <c r="D1189">
        <v>1509</v>
      </c>
      <c r="E1189" t="s">
        <v>66</v>
      </c>
      <c r="F1189" t="b">
        <v>0</v>
      </c>
      <c r="G1189" t="b">
        <v>0</v>
      </c>
      <c r="H1189">
        <v>1.5</v>
      </c>
      <c r="I1189" t="s">
        <v>159</v>
      </c>
      <c r="J1189">
        <v>8.82</v>
      </c>
      <c r="K1189">
        <v>17.3</v>
      </c>
      <c r="L1189">
        <v>34.9</v>
      </c>
      <c r="M1189">
        <v>61.2</v>
      </c>
      <c r="N1189">
        <v>91</v>
      </c>
      <c r="O1189">
        <v>6.9999999999999999E-4</v>
      </c>
      <c r="P1189">
        <v>76.239999999999995</v>
      </c>
      <c r="Q1189">
        <v>23.76</v>
      </c>
    </row>
    <row r="1190" spans="1:17">
      <c r="A1190">
        <v>2412.4</v>
      </c>
      <c r="B1190">
        <v>2334.1999999999998</v>
      </c>
      <c r="C1190">
        <v>1613</v>
      </c>
      <c r="D1190">
        <v>1510</v>
      </c>
      <c r="E1190" t="s">
        <v>66</v>
      </c>
      <c r="F1190" t="b">
        <v>0</v>
      </c>
      <c r="G1190" t="b">
        <v>0</v>
      </c>
      <c r="H1190">
        <v>1.5</v>
      </c>
      <c r="I1190" t="s">
        <v>159</v>
      </c>
      <c r="J1190">
        <v>8.82</v>
      </c>
      <c r="K1190">
        <v>17.3</v>
      </c>
      <c r="L1190">
        <v>34.9</v>
      </c>
      <c r="M1190">
        <v>61.2</v>
      </c>
      <c r="N1190">
        <v>91</v>
      </c>
      <c r="O1190">
        <v>6.9999999999999999E-4</v>
      </c>
      <c r="P1190">
        <v>76.239999999999995</v>
      </c>
      <c r="Q1190">
        <v>23.76</v>
      </c>
    </row>
    <row r="1191" spans="1:17">
      <c r="A1191">
        <v>2414.3000000000002</v>
      </c>
      <c r="B1191">
        <v>2336.1</v>
      </c>
      <c r="C1191">
        <v>1615</v>
      </c>
      <c r="D1191">
        <v>1511</v>
      </c>
      <c r="E1191" t="s">
        <v>66</v>
      </c>
      <c r="F1191" t="b">
        <v>0</v>
      </c>
      <c r="G1191" t="b">
        <v>0</v>
      </c>
      <c r="H1191">
        <v>1.9</v>
      </c>
      <c r="I1191" t="s">
        <v>159</v>
      </c>
      <c r="J1191">
        <v>8.82</v>
      </c>
      <c r="K1191">
        <v>17.3</v>
      </c>
      <c r="L1191">
        <v>34.9</v>
      </c>
      <c r="M1191">
        <v>61.2</v>
      </c>
      <c r="N1191">
        <v>91</v>
      </c>
      <c r="O1191">
        <v>6.9999999999999999E-4</v>
      </c>
      <c r="P1191">
        <v>76.239999999999995</v>
      </c>
      <c r="Q1191">
        <v>23.76</v>
      </c>
    </row>
    <row r="1192" spans="1:17">
      <c r="A1192">
        <v>2416.3000000000002</v>
      </c>
      <c r="B1192">
        <v>2338.1</v>
      </c>
      <c r="C1192">
        <v>1616</v>
      </c>
      <c r="D1192">
        <v>1512</v>
      </c>
      <c r="E1192" t="s">
        <v>66</v>
      </c>
      <c r="F1192" t="b">
        <v>0</v>
      </c>
      <c r="G1192" t="b">
        <v>0</v>
      </c>
      <c r="H1192">
        <v>2</v>
      </c>
      <c r="I1192">
        <v>2.0059999999999998</v>
      </c>
      <c r="J1192">
        <v>8.82</v>
      </c>
      <c r="K1192">
        <v>17.3</v>
      </c>
      <c r="L1192">
        <v>34.9</v>
      </c>
      <c r="M1192">
        <v>61.2</v>
      </c>
      <c r="N1192">
        <v>91</v>
      </c>
      <c r="O1192">
        <v>6.9999999999999999E-4</v>
      </c>
      <c r="P1192">
        <v>76.239999999999995</v>
      </c>
      <c r="Q1192">
        <v>23.76</v>
      </c>
    </row>
    <row r="1193" spans="1:17">
      <c r="A1193">
        <v>2418.1</v>
      </c>
      <c r="B1193">
        <v>2339.8000000000002</v>
      </c>
      <c r="C1193">
        <v>1617</v>
      </c>
      <c r="D1193">
        <v>1513</v>
      </c>
      <c r="E1193" t="s">
        <v>66</v>
      </c>
      <c r="F1193" t="b">
        <v>0</v>
      </c>
      <c r="G1193" t="b">
        <v>0</v>
      </c>
      <c r="H1193">
        <v>1.7</v>
      </c>
      <c r="I1193">
        <v>2.0059999999999998</v>
      </c>
      <c r="J1193">
        <v>8.82</v>
      </c>
      <c r="K1193">
        <v>17.3</v>
      </c>
      <c r="L1193">
        <v>34.9</v>
      </c>
      <c r="M1193">
        <v>61.2</v>
      </c>
      <c r="N1193">
        <v>91</v>
      </c>
      <c r="O1193">
        <v>6.9999999999999999E-4</v>
      </c>
      <c r="P1193">
        <v>76.239999999999995</v>
      </c>
      <c r="Q1193">
        <v>23.76</v>
      </c>
    </row>
    <row r="1194" spans="1:17">
      <c r="A1194">
        <v>2420.5</v>
      </c>
      <c r="B1194">
        <v>2342.1999999999998</v>
      </c>
      <c r="C1194">
        <v>1619</v>
      </c>
      <c r="D1194">
        <v>1514</v>
      </c>
      <c r="E1194" t="s">
        <v>66</v>
      </c>
      <c r="F1194" t="b">
        <v>0</v>
      </c>
      <c r="G1194" t="b">
        <v>0</v>
      </c>
      <c r="H1194">
        <v>2.4</v>
      </c>
      <c r="I1194">
        <v>5.3609999999999998</v>
      </c>
      <c r="J1194">
        <v>8.82</v>
      </c>
      <c r="K1194">
        <v>17.3</v>
      </c>
      <c r="L1194">
        <v>34.9</v>
      </c>
      <c r="M1194">
        <v>61.2</v>
      </c>
      <c r="N1194">
        <v>91</v>
      </c>
      <c r="O1194">
        <v>6.9999999999999999E-4</v>
      </c>
      <c r="P1194">
        <v>76.239999999999995</v>
      </c>
      <c r="Q1194">
        <v>23.76</v>
      </c>
    </row>
    <row r="1195" spans="1:17">
      <c r="A1195">
        <v>2422.1</v>
      </c>
      <c r="B1195">
        <v>2343.9</v>
      </c>
      <c r="C1195">
        <v>1620</v>
      </c>
      <c r="D1195">
        <v>1515</v>
      </c>
      <c r="E1195" t="s">
        <v>66</v>
      </c>
      <c r="F1195" t="b">
        <v>0</v>
      </c>
      <c r="G1195" t="b">
        <v>0</v>
      </c>
      <c r="H1195">
        <v>1.7</v>
      </c>
      <c r="I1195">
        <v>5.3609999999999998</v>
      </c>
      <c r="J1195" t="s">
        <v>159</v>
      </c>
      <c r="K1195" t="s">
        <v>159</v>
      </c>
      <c r="L1195" t="s">
        <v>159</v>
      </c>
      <c r="M1195" t="s">
        <v>159</v>
      </c>
      <c r="N1195" t="s">
        <v>159</v>
      </c>
      <c r="O1195" t="s">
        <v>159</v>
      </c>
      <c r="P1195" t="s">
        <v>159</v>
      </c>
      <c r="Q1195" t="s">
        <v>159</v>
      </c>
    </row>
    <row r="1196" spans="1:17">
      <c r="A1196">
        <v>2423.6999999999998</v>
      </c>
      <c r="B1196">
        <v>2345.5</v>
      </c>
      <c r="C1196">
        <v>1621</v>
      </c>
      <c r="D1196">
        <v>1516</v>
      </c>
      <c r="E1196" t="s">
        <v>66</v>
      </c>
      <c r="F1196" t="b">
        <v>0</v>
      </c>
      <c r="G1196" t="b">
        <v>0</v>
      </c>
      <c r="H1196">
        <v>1.6</v>
      </c>
      <c r="I1196">
        <v>5.3609999999999998</v>
      </c>
      <c r="J1196" t="s">
        <v>159</v>
      </c>
      <c r="K1196" t="s">
        <v>159</v>
      </c>
      <c r="L1196" t="s">
        <v>159</v>
      </c>
      <c r="M1196" t="s">
        <v>159</v>
      </c>
      <c r="N1196" t="s">
        <v>159</v>
      </c>
      <c r="O1196" t="s">
        <v>159</v>
      </c>
      <c r="P1196" t="s">
        <v>159</v>
      </c>
      <c r="Q1196" t="s">
        <v>159</v>
      </c>
    </row>
    <row r="1197" spans="1:17">
      <c r="A1197">
        <v>2425.1</v>
      </c>
      <c r="B1197">
        <v>2346.9</v>
      </c>
      <c r="C1197">
        <v>1622</v>
      </c>
      <c r="D1197">
        <v>1517</v>
      </c>
      <c r="E1197" t="s">
        <v>66</v>
      </c>
      <c r="F1197" t="b">
        <v>0</v>
      </c>
      <c r="G1197" t="b">
        <v>0</v>
      </c>
      <c r="H1197">
        <v>1.4</v>
      </c>
      <c r="I1197">
        <v>5.3609999999999998</v>
      </c>
      <c r="J1197" t="s">
        <v>159</v>
      </c>
      <c r="K1197" t="s">
        <v>159</v>
      </c>
      <c r="L1197" t="s">
        <v>159</v>
      </c>
      <c r="M1197" t="s">
        <v>159</v>
      </c>
      <c r="N1197" t="s">
        <v>159</v>
      </c>
      <c r="O1197" t="s">
        <v>159</v>
      </c>
      <c r="P1197" t="s">
        <v>159</v>
      </c>
      <c r="Q1197" t="s">
        <v>159</v>
      </c>
    </row>
    <row r="1198" spans="1:17">
      <c r="A1198">
        <v>2426.5</v>
      </c>
      <c r="B1198">
        <v>2348.1999999999998</v>
      </c>
      <c r="C1198">
        <v>1623</v>
      </c>
      <c r="D1198">
        <v>1518</v>
      </c>
      <c r="E1198" t="s">
        <v>66</v>
      </c>
      <c r="F1198" t="b">
        <v>0</v>
      </c>
      <c r="G1198" t="b">
        <v>0</v>
      </c>
      <c r="H1198">
        <v>1.4</v>
      </c>
      <c r="I1198">
        <v>5.3609999999999998</v>
      </c>
      <c r="J1198" t="s">
        <v>159</v>
      </c>
      <c r="K1198" t="s">
        <v>159</v>
      </c>
      <c r="L1198" t="s">
        <v>159</v>
      </c>
      <c r="M1198" t="s">
        <v>159</v>
      </c>
      <c r="N1198" t="s">
        <v>159</v>
      </c>
      <c r="O1198" t="s">
        <v>159</v>
      </c>
      <c r="P1198" t="s">
        <v>159</v>
      </c>
      <c r="Q1198" t="s">
        <v>159</v>
      </c>
    </row>
    <row r="1199" spans="1:17">
      <c r="A1199">
        <v>2428.1999999999998</v>
      </c>
      <c r="B1199">
        <v>2350</v>
      </c>
      <c r="C1199">
        <v>1625</v>
      </c>
      <c r="D1199">
        <v>1519</v>
      </c>
      <c r="E1199" t="s">
        <v>66</v>
      </c>
      <c r="F1199" t="b">
        <v>0</v>
      </c>
      <c r="G1199" t="b">
        <v>0</v>
      </c>
      <c r="H1199">
        <v>1.8</v>
      </c>
      <c r="I1199">
        <v>5.3609999999999998</v>
      </c>
      <c r="J1199" t="s">
        <v>159</v>
      </c>
      <c r="K1199" t="s">
        <v>159</v>
      </c>
      <c r="L1199" t="s">
        <v>159</v>
      </c>
      <c r="M1199" t="s">
        <v>159</v>
      </c>
      <c r="N1199" t="s">
        <v>159</v>
      </c>
      <c r="O1199" t="s">
        <v>159</v>
      </c>
      <c r="P1199" t="s">
        <v>159</v>
      </c>
      <c r="Q1199" t="s">
        <v>159</v>
      </c>
    </row>
    <row r="1200" spans="1:17">
      <c r="A1200">
        <v>2429.4</v>
      </c>
      <c r="B1200">
        <v>2351.1999999999998</v>
      </c>
      <c r="C1200">
        <v>1625</v>
      </c>
      <c r="D1200">
        <v>1520</v>
      </c>
      <c r="E1200" t="s">
        <v>66</v>
      </c>
      <c r="F1200" t="b">
        <v>0</v>
      </c>
      <c r="G1200" t="b">
        <v>0</v>
      </c>
      <c r="H1200">
        <v>1.1000000000000001</v>
      </c>
      <c r="I1200">
        <v>5.3609999999999998</v>
      </c>
      <c r="J1200" t="s">
        <v>159</v>
      </c>
      <c r="K1200" t="s">
        <v>159</v>
      </c>
      <c r="L1200" t="s">
        <v>159</v>
      </c>
      <c r="M1200" t="s">
        <v>159</v>
      </c>
      <c r="N1200" t="s">
        <v>159</v>
      </c>
      <c r="O1200" t="s">
        <v>159</v>
      </c>
      <c r="P1200" t="s">
        <v>159</v>
      </c>
      <c r="Q1200" t="s">
        <v>159</v>
      </c>
    </row>
    <row r="1201" spans="1:17">
      <c r="A1201">
        <v>2431.8000000000002</v>
      </c>
      <c r="B1201">
        <v>2353.6</v>
      </c>
      <c r="C1201">
        <v>1627</v>
      </c>
      <c r="D1201">
        <v>1521</v>
      </c>
      <c r="E1201" t="s">
        <v>66</v>
      </c>
      <c r="F1201" t="b">
        <v>0</v>
      </c>
      <c r="G1201" t="b">
        <v>0</v>
      </c>
      <c r="H1201">
        <v>2.4</v>
      </c>
      <c r="I1201">
        <v>5.3609999999999998</v>
      </c>
      <c r="J1201" t="s">
        <v>159</v>
      </c>
      <c r="K1201" t="s">
        <v>159</v>
      </c>
      <c r="L1201" t="s">
        <v>159</v>
      </c>
      <c r="M1201" t="s">
        <v>159</v>
      </c>
      <c r="N1201" t="s">
        <v>159</v>
      </c>
      <c r="O1201" t="s">
        <v>159</v>
      </c>
      <c r="P1201" t="s">
        <v>159</v>
      </c>
      <c r="Q1201" t="s">
        <v>159</v>
      </c>
    </row>
    <row r="1202" spans="1:17">
      <c r="A1202">
        <v>2434.3000000000002</v>
      </c>
      <c r="B1202">
        <v>2356.1</v>
      </c>
      <c r="C1202">
        <v>1629</v>
      </c>
      <c r="D1202">
        <v>1522</v>
      </c>
      <c r="E1202" t="s">
        <v>66</v>
      </c>
      <c r="F1202" t="b">
        <v>0</v>
      </c>
      <c r="G1202" t="b">
        <v>0</v>
      </c>
      <c r="H1202">
        <v>2.5</v>
      </c>
      <c r="I1202">
        <v>5.3609999999999998</v>
      </c>
      <c r="J1202" t="s">
        <v>159</v>
      </c>
      <c r="K1202" t="s">
        <v>159</v>
      </c>
      <c r="L1202" t="s">
        <v>159</v>
      </c>
      <c r="M1202" t="s">
        <v>159</v>
      </c>
      <c r="N1202" t="s">
        <v>159</v>
      </c>
      <c r="O1202" t="s">
        <v>159</v>
      </c>
      <c r="P1202" t="s">
        <v>159</v>
      </c>
      <c r="Q1202" t="s">
        <v>159</v>
      </c>
    </row>
    <row r="1203" spans="1:17">
      <c r="A1203">
        <v>2437.5</v>
      </c>
      <c r="B1203">
        <v>2359.3000000000002</v>
      </c>
      <c r="C1203">
        <v>1631</v>
      </c>
      <c r="D1203">
        <v>1523</v>
      </c>
      <c r="E1203" t="s">
        <v>66</v>
      </c>
      <c r="F1203" t="b">
        <v>0</v>
      </c>
      <c r="G1203" t="b">
        <v>0</v>
      </c>
      <c r="H1203">
        <v>3.1</v>
      </c>
      <c r="I1203">
        <v>5.3609999999999998</v>
      </c>
      <c r="J1203" t="s">
        <v>159</v>
      </c>
      <c r="K1203" t="s">
        <v>159</v>
      </c>
      <c r="L1203" t="s">
        <v>159</v>
      </c>
      <c r="M1203" t="s">
        <v>159</v>
      </c>
      <c r="N1203" t="s">
        <v>159</v>
      </c>
      <c r="O1203" t="s">
        <v>159</v>
      </c>
      <c r="P1203" t="s">
        <v>159</v>
      </c>
      <c r="Q1203" t="s">
        <v>159</v>
      </c>
    </row>
    <row r="1204" spans="1:17">
      <c r="A1204">
        <v>2439.6999999999998</v>
      </c>
      <c r="B1204">
        <v>2361.5</v>
      </c>
      <c r="C1204">
        <v>1633</v>
      </c>
      <c r="D1204">
        <v>1524</v>
      </c>
      <c r="E1204" t="s">
        <v>66</v>
      </c>
      <c r="F1204" t="b">
        <v>0</v>
      </c>
      <c r="G1204" t="b">
        <v>0</v>
      </c>
      <c r="H1204">
        <v>2.2000000000000002</v>
      </c>
      <c r="I1204">
        <v>5.3609999999999998</v>
      </c>
      <c r="J1204" t="s">
        <v>159</v>
      </c>
      <c r="K1204" t="s">
        <v>159</v>
      </c>
      <c r="L1204" t="s">
        <v>159</v>
      </c>
      <c r="M1204" t="s">
        <v>159</v>
      </c>
      <c r="N1204" t="s">
        <v>159</v>
      </c>
      <c r="O1204" t="s">
        <v>159</v>
      </c>
      <c r="P1204" t="s">
        <v>159</v>
      </c>
      <c r="Q1204" t="s">
        <v>159</v>
      </c>
    </row>
    <row r="1205" spans="1:17">
      <c r="A1205">
        <v>2441.5</v>
      </c>
      <c r="B1205">
        <v>2363.1999999999998</v>
      </c>
      <c r="C1205">
        <v>1634</v>
      </c>
      <c r="D1205">
        <v>1525</v>
      </c>
      <c r="E1205" t="s">
        <v>66</v>
      </c>
      <c r="F1205" t="b">
        <v>0</v>
      </c>
      <c r="G1205" t="b">
        <v>0</v>
      </c>
      <c r="H1205">
        <v>1.8</v>
      </c>
      <c r="I1205" t="s">
        <v>159</v>
      </c>
      <c r="J1205" t="s">
        <v>159</v>
      </c>
      <c r="K1205" t="s">
        <v>159</v>
      </c>
      <c r="L1205" t="s">
        <v>159</v>
      </c>
      <c r="M1205" t="s">
        <v>159</v>
      </c>
      <c r="N1205" t="s">
        <v>159</v>
      </c>
      <c r="O1205" t="s">
        <v>159</v>
      </c>
      <c r="P1205" t="s">
        <v>159</v>
      </c>
      <c r="Q1205" t="s">
        <v>159</v>
      </c>
    </row>
    <row r="1206" spans="1:17">
      <c r="A1206">
        <v>2443.3000000000002</v>
      </c>
      <c r="B1206">
        <v>2365.1</v>
      </c>
      <c r="C1206">
        <v>1635</v>
      </c>
      <c r="D1206">
        <v>1526</v>
      </c>
      <c r="E1206" t="s">
        <v>66</v>
      </c>
      <c r="F1206" t="b">
        <v>0</v>
      </c>
      <c r="G1206" t="b">
        <v>0</v>
      </c>
      <c r="H1206">
        <v>1.8</v>
      </c>
      <c r="I1206" t="s">
        <v>159</v>
      </c>
      <c r="J1206" t="s">
        <v>159</v>
      </c>
      <c r="K1206" t="s">
        <v>159</v>
      </c>
      <c r="L1206" t="s">
        <v>159</v>
      </c>
      <c r="M1206" t="s">
        <v>159</v>
      </c>
      <c r="N1206" t="s">
        <v>159</v>
      </c>
      <c r="O1206" t="s">
        <v>159</v>
      </c>
      <c r="P1206" t="s">
        <v>159</v>
      </c>
      <c r="Q1206" t="s">
        <v>159</v>
      </c>
    </row>
    <row r="1207" spans="1:17">
      <c r="A1207">
        <v>2445.1</v>
      </c>
      <c r="B1207">
        <v>2366.9</v>
      </c>
      <c r="C1207">
        <v>1637</v>
      </c>
      <c r="D1207">
        <v>1527</v>
      </c>
      <c r="E1207" t="s">
        <v>66</v>
      </c>
      <c r="F1207" t="b">
        <v>0</v>
      </c>
      <c r="G1207" t="b">
        <v>0</v>
      </c>
      <c r="H1207">
        <v>1.9</v>
      </c>
      <c r="I1207" t="s">
        <v>159</v>
      </c>
      <c r="J1207" t="s">
        <v>159</v>
      </c>
      <c r="K1207" t="s">
        <v>159</v>
      </c>
      <c r="L1207" t="s">
        <v>159</v>
      </c>
      <c r="M1207" t="s">
        <v>159</v>
      </c>
      <c r="N1207" t="s">
        <v>159</v>
      </c>
      <c r="O1207" t="s">
        <v>159</v>
      </c>
      <c r="P1207" t="s">
        <v>159</v>
      </c>
      <c r="Q1207" t="s">
        <v>159</v>
      </c>
    </row>
    <row r="1208" spans="1:17">
      <c r="A1208">
        <v>2446.8000000000002</v>
      </c>
      <c r="B1208">
        <v>2368.5</v>
      </c>
      <c r="C1208">
        <v>1638</v>
      </c>
      <c r="D1208">
        <v>1528</v>
      </c>
      <c r="E1208" t="s">
        <v>66</v>
      </c>
      <c r="F1208" t="b">
        <v>0</v>
      </c>
      <c r="G1208" t="b">
        <v>0</v>
      </c>
      <c r="H1208">
        <v>1.6</v>
      </c>
      <c r="I1208" t="s">
        <v>159</v>
      </c>
      <c r="J1208" t="s">
        <v>159</v>
      </c>
      <c r="K1208" t="s">
        <v>159</v>
      </c>
      <c r="L1208" t="s">
        <v>159</v>
      </c>
      <c r="M1208" t="s">
        <v>159</v>
      </c>
      <c r="N1208" t="s">
        <v>159</v>
      </c>
      <c r="O1208" t="s">
        <v>159</v>
      </c>
      <c r="P1208" t="s">
        <v>159</v>
      </c>
      <c r="Q1208" t="s">
        <v>159</v>
      </c>
    </row>
    <row r="1209" spans="1:17">
      <c r="A1209">
        <v>2448.1</v>
      </c>
      <c r="B1209">
        <v>2369.8000000000002</v>
      </c>
      <c r="C1209">
        <v>1639</v>
      </c>
      <c r="D1209">
        <v>1529</v>
      </c>
      <c r="E1209" t="s">
        <v>66</v>
      </c>
      <c r="F1209" t="b">
        <v>0</v>
      </c>
      <c r="G1209" t="b">
        <v>0</v>
      </c>
      <c r="H1209">
        <v>1.3</v>
      </c>
      <c r="I1209" t="s">
        <v>159</v>
      </c>
      <c r="J1209" t="s">
        <v>159</v>
      </c>
      <c r="K1209" t="s">
        <v>159</v>
      </c>
      <c r="L1209" t="s">
        <v>159</v>
      </c>
      <c r="M1209" t="s">
        <v>159</v>
      </c>
      <c r="N1209" t="s">
        <v>159</v>
      </c>
      <c r="O1209" t="s">
        <v>159</v>
      </c>
      <c r="P1209" t="s">
        <v>159</v>
      </c>
      <c r="Q1209" t="s">
        <v>159</v>
      </c>
    </row>
    <row r="1210" spans="1:17">
      <c r="A1210">
        <v>2449.8000000000002</v>
      </c>
      <c r="B1210">
        <v>2371.5</v>
      </c>
      <c r="C1210">
        <v>1640</v>
      </c>
      <c r="D1210">
        <v>1530</v>
      </c>
      <c r="E1210" t="s">
        <v>66</v>
      </c>
      <c r="F1210" t="b">
        <v>0</v>
      </c>
      <c r="G1210" t="b">
        <v>0</v>
      </c>
      <c r="H1210">
        <v>1.7</v>
      </c>
      <c r="I1210" t="s">
        <v>159</v>
      </c>
      <c r="J1210" t="s">
        <v>159</v>
      </c>
      <c r="K1210" t="s">
        <v>159</v>
      </c>
      <c r="L1210" t="s">
        <v>159</v>
      </c>
      <c r="M1210" t="s">
        <v>159</v>
      </c>
      <c r="N1210" t="s">
        <v>159</v>
      </c>
      <c r="O1210" t="s">
        <v>159</v>
      </c>
      <c r="P1210" t="s">
        <v>159</v>
      </c>
      <c r="Q1210" t="s">
        <v>159</v>
      </c>
    </row>
    <row r="1211" spans="1:17">
      <c r="A1211">
        <v>2451.6</v>
      </c>
      <c r="B1211">
        <v>2373.4</v>
      </c>
      <c r="C1211">
        <v>1641</v>
      </c>
      <c r="D1211">
        <v>1531</v>
      </c>
      <c r="E1211" t="s">
        <v>66</v>
      </c>
      <c r="F1211" t="b">
        <v>0</v>
      </c>
      <c r="G1211" t="b">
        <v>0</v>
      </c>
      <c r="H1211">
        <v>1.9</v>
      </c>
      <c r="I1211" t="s">
        <v>159</v>
      </c>
      <c r="J1211" t="s">
        <v>159</v>
      </c>
      <c r="K1211" t="s">
        <v>159</v>
      </c>
      <c r="L1211" t="s">
        <v>159</v>
      </c>
      <c r="M1211" t="s">
        <v>159</v>
      </c>
      <c r="N1211" t="s">
        <v>159</v>
      </c>
      <c r="O1211" t="s">
        <v>159</v>
      </c>
      <c r="P1211" t="s">
        <v>159</v>
      </c>
      <c r="Q1211" t="s">
        <v>159</v>
      </c>
    </row>
    <row r="1212" spans="1:17">
      <c r="A1212">
        <v>2452.6999999999998</v>
      </c>
      <c r="B1212">
        <v>2374.5</v>
      </c>
      <c r="C1212">
        <v>1642</v>
      </c>
      <c r="D1212">
        <v>1532</v>
      </c>
      <c r="E1212" t="s">
        <v>66</v>
      </c>
      <c r="F1212" t="b">
        <v>0</v>
      </c>
      <c r="G1212" t="b">
        <v>0</v>
      </c>
      <c r="H1212">
        <v>1.1000000000000001</v>
      </c>
      <c r="I1212" t="s">
        <v>159</v>
      </c>
      <c r="J1212" t="s">
        <v>159</v>
      </c>
      <c r="K1212" t="s">
        <v>159</v>
      </c>
      <c r="L1212" t="s">
        <v>159</v>
      </c>
      <c r="M1212" t="s">
        <v>159</v>
      </c>
      <c r="N1212" t="s">
        <v>159</v>
      </c>
      <c r="O1212" t="s">
        <v>159</v>
      </c>
      <c r="P1212" t="s">
        <v>159</v>
      </c>
      <c r="Q1212" t="s">
        <v>159</v>
      </c>
    </row>
    <row r="1213" spans="1:17">
      <c r="A1213">
        <v>2453.9</v>
      </c>
      <c r="B1213">
        <v>2375.6</v>
      </c>
      <c r="C1213">
        <v>1643</v>
      </c>
      <c r="D1213">
        <v>1533</v>
      </c>
      <c r="E1213" t="s">
        <v>66</v>
      </c>
      <c r="F1213" t="b">
        <v>0</v>
      </c>
      <c r="G1213" t="b">
        <v>0</v>
      </c>
      <c r="H1213">
        <v>1.1000000000000001</v>
      </c>
      <c r="I1213" t="s">
        <v>159</v>
      </c>
      <c r="J1213" t="s">
        <v>159</v>
      </c>
      <c r="K1213" t="s">
        <v>159</v>
      </c>
      <c r="L1213" t="s">
        <v>159</v>
      </c>
      <c r="M1213" t="s">
        <v>159</v>
      </c>
      <c r="N1213" t="s">
        <v>159</v>
      </c>
      <c r="O1213" t="s">
        <v>159</v>
      </c>
      <c r="P1213" t="s">
        <v>159</v>
      </c>
      <c r="Q1213" t="s">
        <v>159</v>
      </c>
    </row>
    <row r="1214" spans="1:17">
      <c r="A1214">
        <v>2455.6</v>
      </c>
      <c r="B1214">
        <v>2377.4</v>
      </c>
      <c r="C1214">
        <v>1644</v>
      </c>
      <c r="D1214">
        <v>1534</v>
      </c>
      <c r="E1214" t="s">
        <v>66</v>
      </c>
      <c r="F1214" t="b">
        <v>0</v>
      </c>
      <c r="G1214" t="b">
        <v>0</v>
      </c>
      <c r="H1214">
        <v>1.7</v>
      </c>
      <c r="I1214" t="s">
        <v>159</v>
      </c>
      <c r="J1214">
        <v>0.80700000000000005</v>
      </c>
      <c r="K1214">
        <v>2.95</v>
      </c>
      <c r="L1214">
        <v>6.43</v>
      </c>
      <c r="M1214">
        <v>13</v>
      </c>
      <c r="N1214">
        <v>23.3</v>
      </c>
      <c r="O1214">
        <v>18.5</v>
      </c>
      <c r="P1214">
        <v>80.44</v>
      </c>
      <c r="Q1214">
        <v>1.06</v>
      </c>
    </row>
    <row r="1215" spans="1:17">
      <c r="A1215">
        <v>2456.6</v>
      </c>
      <c r="B1215">
        <v>2378.4</v>
      </c>
      <c r="C1215">
        <v>1645</v>
      </c>
      <c r="D1215">
        <v>1535</v>
      </c>
      <c r="E1215" t="s">
        <v>66</v>
      </c>
      <c r="F1215" t="b">
        <v>0</v>
      </c>
      <c r="G1215" t="b">
        <v>0</v>
      </c>
      <c r="H1215">
        <v>1</v>
      </c>
      <c r="I1215" t="s">
        <v>159</v>
      </c>
      <c r="J1215">
        <v>0.80700000000000005</v>
      </c>
      <c r="K1215">
        <v>2.95</v>
      </c>
      <c r="L1215">
        <v>6.43</v>
      </c>
      <c r="M1215">
        <v>13</v>
      </c>
      <c r="N1215">
        <v>23.3</v>
      </c>
      <c r="O1215">
        <v>18.5</v>
      </c>
      <c r="P1215">
        <v>80.44</v>
      </c>
      <c r="Q1215">
        <v>1.06</v>
      </c>
    </row>
    <row r="1216" spans="1:17">
      <c r="A1216">
        <v>2458.1999999999998</v>
      </c>
      <c r="B1216">
        <v>2380</v>
      </c>
      <c r="C1216">
        <v>1646</v>
      </c>
      <c r="D1216">
        <v>1536</v>
      </c>
      <c r="E1216" t="s">
        <v>66</v>
      </c>
      <c r="F1216" t="b">
        <v>0</v>
      </c>
      <c r="G1216" t="b">
        <v>0</v>
      </c>
      <c r="H1216">
        <v>1.6</v>
      </c>
      <c r="I1216" t="s">
        <v>159</v>
      </c>
      <c r="J1216">
        <v>0.80700000000000005</v>
      </c>
      <c r="K1216">
        <v>2.95</v>
      </c>
      <c r="L1216">
        <v>6.43</v>
      </c>
      <c r="M1216">
        <v>13</v>
      </c>
      <c r="N1216">
        <v>23.3</v>
      </c>
      <c r="O1216">
        <v>18.5</v>
      </c>
      <c r="P1216">
        <v>80.44</v>
      </c>
      <c r="Q1216">
        <v>1.06</v>
      </c>
    </row>
    <row r="1217" spans="1:17">
      <c r="A1217">
        <v>2459.1999999999998</v>
      </c>
      <c r="B1217">
        <v>2381</v>
      </c>
      <c r="C1217">
        <v>1647</v>
      </c>
      <c r="D1217">
        <v>1537</v>
      </c>
      <c r="E1217" t="s">
        <v>66</v>
      </c>
      <c r="F1217" t="b">
        <v>0</v>
      </c>
      <c r="G1217" t="b">
        <v>0</v>
      </c>
      <c r="H1217">
        <v>1</v>
      </c>
      <c r="I1217" t="s">
        <v>159</v>
      </c>
      <c r="J1217">
        <v>0.80700000000000005</v>
      </c>
      <c r="K1217">
        <v>2.95</v>
      </c>
      <c r="L1217">
        <v>6.43</v>
      </c>
      <c r="M1217">
        <v>13</v>
      </c>
      <c r="N1217">
        <v>23.3</v>
      </c>
      <c r="O1217">
        <v>18.5</v>
      </c>
      <c r="P1217">
        <v>80.44</v>
      </c>
      <c r="Q1217">
        <v>1.06</v>
      </c>
    </row>
    <row r="1218" spans="1:17">
      <c r="A1218">
        <v>2460.6999999999998</v>
      </c>
      <c r="B1218">
        <v>2382.5</v>
      </c>
      <c r="C1218">
        <v>1648</v>
      </c>
      <c r="D1218">
        <v>1538</v>
      </c>
      <c r="E1218" t="s">
        <v>66</v>
      </c>
      <c r="F1218" t="b">
        <v>0</v>
      </c>
      <c r="G1218" t="b">
        <v>0</v>
      </c>
      <c r="H1218">
        <v>1.5</v>
      </c>
      <c r="I1218" t="s">
        <v>159</v>
      </c>
      <c r="J1218">
        <v>0.80700000000000005</v>
      </c>
      <c r="K1218">
        <v>2.95</v>
      </c>
      <c r="L1218">
        <v>6.43</v>
      </c>
      <c r="M1218">
        <v>13</v>
      </c>
      <c r="N1218">
        <v>23.3</v>
      </c>
      <c r="O1218">
        <v>18.5</v>
      </c>
      <c r="P1218">
        <v>80.44</v>
      </c>
      <c r="Q1218">
        <v>1.06</v>
      </c>
    </row>
    <row r="1219" spans="1:17">
      <c r="A1219">
        <v>2461.9</v>
      </c>
      <c r="B1219">
        <v>2383.6</v>
      </c>
      <c r="C1219">
        <v>1649</v>
      </c>
      <c r="D1219">
        <v>1539</v>
      </c>
      <c r="E1219" t="s">
        <v>66</v>
      </c>
      <c r="F1219" t="b">
        <v>0</v>
      </c>
      <c r="G1219" t="b">
        <v>0</v>
      </c>
      <c r="H1219">
        <v>1.2</v>
      </c>
      <c r="I1219" t="s">
        <v>159</v>
      </c>
      <c r="J1219">
        <v>0.80700000000000005</v>
      </c>
      <c r="K1219">
        <v>2.95</v>
      </c>
      <c r="L1219">
        <v>6.43</v>
      </c>
      <c r="M1219">
        <v>13</v>
      </c>
      <c r="N1219">
        <v>23.3</v>
      </c>
      <c r="O1219">
        <v>18.5</v>
      </c>
      <c r="P1219">
        <v>80.44</v>
      </c>
      <c r="Q1219">
        <v>1.06</v>
      </c>
    </row>
    <row r="1220" spans="1:17">
      <c r="A1220">
        <v>2463</v>
      </c>
      <c r="B1220">
        <v>2384.8000000000002</v>
      </c>
      <c r="C1220">
        <v>1650</v>
      </c>
      <c r="D1220">
        <v>1540</v>
      </c>
      <c r="E1220" t="s">
        <v>66</v>
      </c>
      <c r="F1220" t="b">
        <v>0</v>
      </c>
      <c r="G1220" t="b">
        <v>0</v>
      </c>
      <c r="H1220">
        <v>1.1000000000000001</v>
      </c>
      <c r="I1220" t="s">
        <v>159</v>
      </c>
      <c r="J1220">
        <v>0.80700000000000005</v>
      </c>
      <c r="K1220">
        <v>2.95</v>
      </c>
      <c r="L1220">
        <v>6.43</v>
      </c>
      <c r="M1220">
        <v>13</v>
      </c>
      <c r="N1220">
        <v>23.3</v>
      </c>
      <c r="O1220">
        <v>18.5</v>
      </c>
      <c r="P1220">
        <v>80.44</v>
      </c>
      <c r="Q1220">
        <v>1.06</v>
      </c>
    </row>
    <row r="1221" spans="1:17">
      <c r="A1221">
        <v>2465</v>
      </c>
      <c r="B1221">
        <v>2386.8000000000002</v>
      </c>
      <c r="C1221">
        <v>1651</v>
      </c>
      <c r="D1221">
        <v>1541</v>
      </c>
      <c r="E1221" t="s">
        <v>66</v>
      </c>
      <c r="F1221" t="b">
        <v>0</v>
      </c>
      <c r="G1221" t="b">
        <v>0</v>
      </c>
      <c r="H1221">
        <v>2</v>
      </c>
      <c r="I1221" t="s">
        <v>159</v>
      </c>
      <c r="J1221">
        <v>0.80700000000000005</v>
      </c>
      <c r="K1221">
        <v>2.95</v>
      </c>
      <c r="L1221">
        <v>6.43</v>
      </c>
      <c r="M1221">
        <v>13</v>
      </c>
      <c r="N1221">
        <v>23.3</v>
      </c>
      <c r="O1221">
        <v>18.5</v>
      </c>
      <c r="P1221">
        <v>80.44</v>
      </c>
      <c r="Q1221">
        <v>1.06</v>
      </c>
    </row>
    <row r="1222" spans="1:17">
      <c r="A1222">
        <v>2466.1</v>
      </c>
      <c r="B1222">
        <v>2387.8000000000002</v>
      </c>
      <c r="C1222">
        <v>1652</v>
      </c>
      <c r="D1222">
        <v>1542</v>
      </c>
      <c r="E1222" t="s">
        <v>66</v>
      </c>
      <c r="F1222" t="b">
        <v>0</v>
      </c>
      <c r="G1222" t="b">
        <v>0</v>
      </c>
      <c r="H1222">
        <v>1</v>
      </c>
      <c r="I1222" t="s">
        <v>159</v>
      </c>
      <c r="J1222">
        <v>0.80700000000000005</v>
      </c>
      <c r="K1222">
        <v>2.95</v>
      </c>
      <c r="L1222">
        <v>6.43</v>
      </c>
      <c r="M1222">
        <v>13</v>
      </c>
      <c r="N1222">
        <v>23.3</v>
      </c>
      <c r="O1222">
        <v>18.5</v>
      </c>
      <c r="P1222">
        <v>80.44</v>
      </c>
      <c r="Q1222">
        <v>1.06</v>
      </c>
    </row>
    <row r="1223" spans="1:17">
      <c r="A1223">
        <v>2467.4</v>
      </c>
      <c r="B1223">
        <v>2389.1</v>
      </c>
      <c r="C1223">
        <v>1653</v>
      </c>
      <c r="D1223">
        <v>1543</v>
      </c>
      <c r="E1223" t="s">
        <v>66</v>
      </c>
      <c r="F1223" t="b">
        <v>0</v>
      </c>
      <c r="G1223" t="b">
        <v>0</v>
      </c>
      <c r="H1223">
        <v>1.3</v>
      </c>
      <c r="I1223" t="s">
        <v>159</v>
      </c>
      <c r="J1223">
        <v>0.80700000000000005</v>
      </c>
      <c r="K1223">
        <v>2.95</v>
      </c>
      <c r="L1223">
        <v>6.43</v>
      </c>
      <c r="M1223">
        <v>13</v>
      </c>
      <c r="N1223">
        <v>23.3</v>
      </c>
      <c r="O1223">
        <v>18.5</v>
      </c>
      <c r="P1223">
        <v>80.44</v>
      </c>
      <c r="Q1223">
        <v>1.06</v>
      </c>
    </row>
    <row r="1224" spans="1:17">
      <c r="A1224">
        <v>2469.1999999999998</v>
      </c>
      <c r="B1224">
        <v>2391</v>
      </c>
      <c r="C1224">
        <v>1654</v>
      </c>
      <c r="D1224">
        <v>1544</v>
      </c>
      <c r="E1224" t="s">
        <v>66</v>
      </c>
      <c r="F1224" t="b">
        <v>0</v>
      </c>
      <c r="G1224" t="b">
        <v>0</v>
      </c>
      <c r="H1224">
        <v>1.8</v>
      </c>
      <c r="I1224" t="s">
        <v>159</v>
      </c>
      <c r="J1224">
        <v>0.80700000000000005</v>
      </c>
      <c r="K1224">
        <v>2.95</v>
      </c>
      <c r="L1224">
        <v>6.43</v>
      </c>
      <c r="M1224">
        <v>13</v>
      </c>
      <c r="N1224">
        <v>23.3</v>
      </c>
      <c r="O1224">
        <v>18.5</v>
      </c>
      <c r="P1224">
        <v>80.44</v>
      </c>
      <c r="Q1224">
        <v>1.06</v>
      </c>
    </row>
    <row r="1225" spans="1:17">
      <c r="A1225">
        <v>2470.4</v>
      </c>
      <c r="B1225">
        <v>2392.1999999999998</v>
      </c>
      <c r="C1225">
        <v>1655</v>
      </c>
      <c r="D1225">
        <v>1545</v>
      </c>
      <c r="E1225" t="s">
        <v>66</v>
      </c>
      <c r="F1225" t="b">
        <v>0</v>
      </c>
      <c r="G1225" t="b">
        <v>0</v>
      </c>
      <c r="H1225">
        <v>1.2</v>
      </c>
      <c r="I1225">
        <v>5.4550000000000001</v>
      </c>
      <c r="J1225">
        <v>0.80700000000000005</v>
      </c>
      <c r="K1225">
        <v>2.95</v>
      </c>
      <c r="L1225">
        <v>6.43</v>
      </c>
      <c r="M1225">
        <v>13</v>
      </c>
      <c r="N1225">
        <v>23.3</v>
      </c>
      <c r="O1225">
        <v>18.5</v>
      </c>
      <c r="P1225">
        <v>80.44</v>
      </c>
      <c r="Q1225">
        <v>1.06</v>
      </c>
    </row>
    <row r="1226" spans="1:17">
      <c r="A1226">
        <v>2474.1</v>
      </c>
      <c r="B1226">
        <v>2395.9</v>
      </c>
      <c r="C1226">
        <v>1658</v>
      </c>
      <c r="D1226">
        <v>1548</v>
      </c>
      <c r="E1226" t="s">
        <v>66</v>
      </c>
      <c r="F1226" t="b">
        <v>0</v>
      </c>
      <c r="G1226" t="b">
        <v>1</v>
      </c>
      <c r="H1226">
        <v>3.7</v>
      </c>
      <c r="I1226">
        <v>5.4550000000000001</v>
      </c>
      <c r="J1226">
        <v>0.80700000000000005</v>
      </c>
      <c r="K1226">
        <v>2.95</v>
      </c>
      <c r="L1226">
        <v>6.43</v>
      </c>
      <c r="M1226">
        <v>13</v>
      </c>
      <c r="N1226">
        <v>23.3</v>
      </c>
      <c r="O1226">
        <v>18.5</v>
      </c>
      <c r="P1226">
        <v>80.44</v>
      </c>
      <c r="Q1226">
        <v>1.06</v>
      </c>
    </row>
    <row r="1227" spans="1:17">
      <c r="A1227">
        <v>2475.4</v>
      </c>
      <c r="B1227">
        <v>2397.1999999999998</v>
      </c>
      <c r="C1227">
        <v>1659</v>
      </c>
      <c r="D1227">
        <v>1549</v>
      </c>
      <c r="E1227" t="s">
        <v>66</v>
      </c>
      <c r="F1227" t="b">
        <v>0</v>
      </c>
      <c r="G1227" t="b">
        <v>0</v>
      </c>
      <c r="H1227">
        <v>1.3</v>
      </c>
      <c r="I1227">
        <v>5.4550000000000001</v>
      </c>
      <c r="J1227">
        <v>0.80700000000000005</v>
      </c>
      <c r="K1227">
        <v>2.95</v>
      </c>
      <c r="L1227">
        <v>6.43</v>
      </c>
      <c r="M1227">
        <v>13</v>
      </c>
      <c r="N1227">
        <v>23.3</v>
      </c>
      <c r="O1227">
        <v>18.5</v>
      </c>
      <c r="P1227">
        <v>80.44</v>
      </c>
      <c r="Q1227">
        <v>1.06</v>
      </c>
    </row>
    <row r="1228" spans="1:17">
      <c r="A1228">
        <v>2477</v>
      </c>
      <c r="B1228">
        <v>2398.8000000000002</v>
      </c>
      <c r="C1228">
        <v>1660</v>
      </c>
      <c r="D1228">
        <v>1550</v>
      </c>
      <c r="E1228" t="s">
        <v>66</v>
      </c>
      <c r="F1228" t="b">
        <v>0</v>
      </c>
      <c r="G1228" t="b">
        <v>0</v>
      </c>
      <c r="H1228">
        <v>1.6</v>
      </c>
      <c r="I1228">
        <v>5.4550000000000001</v>
      </c>
      <c r="J1228" t="s">
        <v>159</v>
      </c>
      <c r="K1228" t="s">
        <v>159</v>
      </c>
      <c r="L1228" t="s">
        <v>159</v>
      </c>
      <c r="M1228" t="s">
        <v>159</v>
      </c>
      <c r="N1228" t="s">
        <v>159</v>
      </c>
      <c r="O1228" t="s">
        <v>159</v>
      </c>
      <c r="P1228" t="s">
        <v>159</v>
      </c>
      <c r="Q1228" t="s">
        <v>159</v>
      </c>
    </row>
    <row r="1229" spans="1:17">
      <c r="A1229">
        <v>2477.9</v>
      </c>
      <c r="B1229">
        <v>2399.6999999999998</v>
      </c>
      <c r="C1229">
        <v>1660</v>
      </c>
      <c r="D1229">
        <v>1551</v>
      </c>
      <c r="E1229" t="s">
        <v>66</v>
      </c>
      <c r="F1229" t="b">
        <v>0</v>
      </c>
      <c r="G1229" t="b">
        <v>0</v>
      </c>
      <c r="H1229">
        <v>0.9</v>
      </c>
      <c r="I1229">
        <v>5.4550000000000001</v>
      </c>
      <c r="J1229" t="s">
        <v>159</v>
      </c>
      <c r="K1229" t="s">
        <v>159</v>
      </c>
      <c r="L1229" t="s">
        <v>159</v>
      </c>
      <c r="M1229" t="s">
        <v>159</v>
      </c>
      <c r="N1229" t="s">
        <v>159</v>
      </c>
      <c r="O1229" t="s">
        <v>159</v>
      </c>
      <c r="P1229" t="s">
        <v>159</v>
      </c>
      <c r="Q1229" t="s">
        <v>159</v>
      </c>
    </row>
    <row r="1230" spans="1:17">
      <c r="A1230">
        <v>2479.1</v>
      </c>
      <c r="B1230">
        <v>2400.9</v>
      </c>
      <c r="C1230">
        <v>1661</v>
      </c>
      <c r="D1230">
        <v>1552</v>
      </c>
      <c r="E1230" t="s">
        <v>66</v>
      </c>
      <c r="F1230" t="b">
        <v>0</v>
      </c>
      <c r="G1230" t="b">
        <v>0</v>
      </c>
      <c r="H1230">
        <v>1.2</v>
      </c>
      <c r="I1230">
        <v>5.4550000000000001</v>
      </c>
      <c r="J1230" t="s">
        <v>159</v>
      </c>
      <c r="K1230" t="s">
        <v>159</v>
      </c>
      <c r="L1230" t="s">
        <v>159</v>
      </c>
      <c r="M1230" t="s">
        <v>159</v>
      </c>
      <c r="N1230" t="s">
        <v>159</v>
      </c>
      <c r="O1230" t="s">
        <v>159</v>
      </c>
      <c r="P1230" t="s">
        <v>159</v>
      </c>
      <c r="Q1230" t="s">
        <v>159</v>
      </c>
    </row>
    <row r="1231" spans="1:17">
      <c r="A1231">
        <v>2480.4</v>
      </c>
      <c r="B1231">
        <v>2402.1</v>
      </c>
      <c r="C1231">
        <v>1662</v>
      </c>
      <c r="D1231">
        <v>1553</v>
      </c>
      <c r="E1231" t="s">
        <v>66</v>
      </c>
      <c r="F1231" t="b">
        <v>0</v>
      </c>
      <c r="G1231" t="b">
        <v>0</v>
      </c>
      <c r="H1231">
        <v>1.3</v>
      </c>
      <c r="I1231">
        <v>5.4550000000000001</v>
      </c>
      <c r="J1231" t="s">
        <v>159</v>
      </c>
      <c r="K1231" t="s">
        <v>159</v>
      </c>
      <c r="L1231" t="s">
        <v>159</v>
      </c>
      <c r="M1231" t="s">
        <v>159</v>
      </c>
      <c r="N1231" t="s">
        <v>159</v>
      </c>
      <c r="O1231" t="s">
        <v>159</v>
      </c>
      <c r="P1231" t="s">
        <v>159</v>
      </c>
      <c r="Q1231" t="s">
        <v>159</v>
      </c>
    </row>
    <row r="1232" spans="1:17">
      <c r="A1232">
        <v>2481.6999999999998</v>
      </c>
      <c r="B1232">
        <v>2403.5</v>
      </c>
      <c r="C1232">
        <v>1663</v>
      </c>
      <c r="D1232">
        <v>1554</v>
      </c>
      <c r="E1232" t="s">
        <v>66</v>
      </c>
      <c r="F1232" t="b">
        <v>0</v>
      </c>
      <c r="G1232" t="b">
        <v>0</v>
      </c>
      <c r="H1232">
        <v>1.3</v>
      </c>
      <c r="I1232">
        <v>5.4550000000000001</v>
      </c>
      <c r="J1232" t="s">
        <v>159</v>
      </c>
      <c r="K1232" t="s">
        <v>159</v>
      </c>
      <c r="L1232" t="s">
        <v>159</v>
      </c>
      <c r="M1232" t="s">
        <v>159</v>
      </c>
      <c r="N1232" t="s">
        <v>159</v>
      </c>
      <c r="O1232" t="s">
        <v>159</v>
      </c>
      <c r="P1232" t="s">
        <v>159</v>
      </c>
      <c r="Q1232" t="s">
        <v>159</v>
      </c>
    </row>
    <row r="1233" spans="1:17">
      <c r="A1233">
        <v>2483.6999999999998</v>
      </c>
      <c r="B1233">
        <v>2405.5</v>
      </c>
      <c r="C1233">
        <v>1665</v>
      </c>
      <c r="D1233">
        <v>1555</v>
      </c>
      <c r="E1233" t="s">
        <v>66</v>
      </c>
      <c r="F1233" t="b">
        <v>0</v>
      </c>
      <c r="G1233" t="b">
        <v>0</v>
      </c>
      <c r="H1233">
        <v>2</v>
      </c>
      <c r="I1233">
        <v>5.4550000000000001</v>
      </c>
      <c r="J1233" t="s">
        <v>159</v>
      </c>
      <c r="K1233" t="s">
        <v>159</v>
      </c>
      <c r="L1233" t="s">
        <v>159</v>
      </c>
      <c r="M1233" t="s">
        <v>159</v>
      </c>
      <c r="N1233" t="s">
        <v>159</v>
      </c>
      <c r="O1233" t="s">
        <v>159</v>
      </c>
      <c r="P1233" t="s">
        <v>159</v>
      </c>
      <c r="Q1233" t="s">
        <v>159</v>
      </c>
    </row>
    <row r="1234" spans="1:17">
      <c r="A1234">
        <v>2485.1999999999998</v>
      </c>
      <c r="B1234">
        <v>2407</v>
      </c>
      <c r="C1234">
        <v>1666</v>
      </c>
      <c r="D1234">
        <v>1556</v>
      </c>
      <c r="E1234" t="s">
        <v>66</v>
      </c>
      <c r="F1234" t="b">
        <v>0</v>
      </c>
      <c r="G1234" t="b">
        <v>0</v>
      </c>
      <c r="H1234">
        <v>1.5</v>
      </c>
      <c r="I1234">
        <v>5.4550000000000001</v>
      </c>
      <c r="J1234" t="s">
        <v>159</v>
      </c>
      <c r="K1234" t="s">
        <v>159</v>
      </c>
      <c r="L1234" t="s">
        <v>159</v>
      </c>
      <c r="M1234" t="s">
        <v>159</v>
      </c>
      <c r="N1234" t="s">
        <v>159</v>
      </c>
      <c r="O1234" t="s">
        <v>159</v>
      </c>
      <c r="P1234" t="s">
        <v>159</v>
      </c>
      <c r="Q1234" t="s">
        <v>159</v>
      </c>
    </row>
    <row r="1235" spans="1:17">
      <c r="A1235">
        <v>2486.6</v>
      </c>
      <c r="B1235">
        <v>2408.3000000000002</v>
      </c>
      <c r="C1235">
        <v>1667</v>
      </c>
      <c r="D1235">
        <v>1557</v>
      </c>
      <c r="E1235" t="s">
        <v>66</v>
      </c>
      <c r="F1235" t="b">
        <v>0</v>
      </c>
      <c r="G1235" t="b">
        <v>0</v>
      </c>
      <c r="H1235">
        <v>1.4</v>
      </c>
      <c r="I1235">
        <v>5.4550000000000001</v>
      </c>
      <c r="J1235" t="s">
        <v>159</v>
      </c>
      <c r="K1235" t="s">
        <v>159</v>
      </c>
      <c r="L1235" t="s">
        <v>159</v>
      </c>
      <c r="M1235" t="s">
        <v>159</v>
      </c>
      <c r="N1235" t="s">
        <v>159</v>
      </c>
      <c r="O1235" t="s">
        <v>159</v>
      </c>
      <c r="P1235" t="s">
        <v>159</v>
      </c>
      <c r="Q1235" t="s">
        <v>159</v>
      </c>
    </row>
    <row r="1236" spans="1:17">
      <c r="A1236">
        <v>2488.1999999999998</v>
      </c>
      <c r="B1236">
        <v>2410</v>
      </c>
      <c r="C1236">
        <v>1668</v>
      </c>
      <c r="D1236">
        <v>1558</v>
      </c>
      <c r="E1236" t="s">
        <v>66</v>
      </c>
      <c r="F1236" t="b">
        <v>0</v>
      </c>
      <c r="G1236" t="b">
        <v>0</v>
      </c>
      <c r="H1236">
        <v>1.6</v>
      </c>
      <c r="I1236">
        <v>5.4550000000000001</v>
      </c>
      <c r="J1236" t="s">
        <v>159</v>
      </c>
      <c r="K1236" t="s">
        <v>159</v>
      </c>
      <c r="L1236" t="s">
        <v>159</v>
      </c>
      <c r="M1236" t="s">
        <v>159</v>
      </c>
      <c r="N1236" t="s">
        <v>159</v>
      </c>
      <c r="O1236" t="s">
        <v>159</v>
      </c>
      <c r="P1236" t="s">
        <v>159</v>
      </c>
      <c r="Q1236" t="s">
        <v>159</v>
      </c>
    </row>
    <row r="1237" spans="1:17">
      <c r="A1237">
        <v>2488.9</v>
      </c>
      <c r="B1237">
        <v>2410.6999999999998</v>
      </c>
      <c r="C1237">
        <v>1668</v>
      </c>
      <c r="D1237">
        <v>1559</v>
      </c>
      <c r="E1237" t="s">
        <v>66</v>
      </c>
      <c r="F1237" t="b">
        <v>0</v>
      </c>
      <c r="G1237" t="b">
        <v>0</v>
      </c>
      <c r="H1237">
        <v>0.7</v>
      </c>
      <c r="I1237">
        <v>5.4550000000000001</v>
      </c>
      <c r="J1237" t="s">
        <v>159</v>
      </c>
      <c r="K1237" t="s">
        <v>159</v>
      </c>
      <c r="L1237" t="s">
        <v>159</v>
      </c>
      <c r="M1237" t="s">
        <v>159</v>
      </c>
      <c r="N1237" t="s">
        <v>159</v>
      </c>
      <c r="O1237" t="s">
        <v>159</v>
      </c>
      <c r="P1237" t="s">
        <v>159</v>
      </c>
      <c r="Q1237" t="s">
        <v>159</v>
      </c>
    </row>
    <row r="1238" spans="1:17">
      <c r="A1238">
        <v>2490.5</v>
      </c>
      <c r="B1238">
        <v>2412.3000000000002</v>
      </c>
      <c r="C1238">
        <v>1669</v>
      </c>
      <c r="D1238">
        <v>1560</v>
      </c>
      <c r="E1238" t="s">
        <v>66</v>
      </c>
      <c r="F1238" t="b">
        <v>0</v>
      </c>
      <c r="G1238" t="b">
        <v>0</v>
      </c>
      <c r="H1238">
        <v>1.6</v>
      </c>
      <c r="I1238">
        <v>5.4550000000000001</v>
      </c>
      <c r="J1238" t="s">
        <v>159</v>
      </c>
      <c r="K1238" t="s">
        <v>159</v>
      </c>
      <c r="L1238" t="s">
        <v>159</v>
      </c>
      <c r="M1238" t="s">
        <v>159</v>
      </c>
      <c r="N1238" t="s">
        <v>159</v>
      </c>
      <c r="O1238" t="s">
        <v>159</v>
      </c>
      <c r="P1238" t="s">
        <v>159</v>
      </c>
      <c r="Q1238" t="s">
        <v>159</v>
      </c>
    </row>
    <row r="1239" spans="1:17">
      <c r="A1239">
        <v>2491.9</v>
      </c>
      <c r="B1239">
        <v>2413.6</v>
      </c>
      <c r="C1239">
        <v>1670</v>
      </c>
      <c r="D1239">
        <v>1561</v>
      </c>
      <c r="E1239" t="s">
        <v>66</v>
      </c>
      <c r="F1239" t="b">
        <v>0</v>
      </c>
      <c r="G1239" t="b">
        <v>0</v>
      </c>
      <c r="H1239">
        <v>1.4</v>
      </c>
      <c r="I1239" t="s">
        <v>159</v>
      </c>
      <c r="J1239" t="s">
        <v>159</v>
      </c>
      <c r="K1239" t="s">
        <v>159</v>
      </c>
      <c r="L1239" t="s">
        <v>159</v>
      </c>
      <c r="M1239" t="s">
        <v>159</v>
      </c>
      <c r="N1239" t="s">
        <v>159</v>
      </c>
      <c r="O1239" t="s">
        <v>159</v>
      </c>
      <c r="P1239" t="s">
        <v>159</v>
      </c>
      <c r="Q1239" t="s">
        <v>159</v>
      </c>
    </row>
    <row r="1240" spans="1:17">
      <c r="A1240">
        <v>2494.1</v>
      </c>
      <c r="B1240">
        <v>2415.8000000000002</v>
      </c>
      <c r="C1240">
        <v>1672</v>
      </c>
      <c r="D1240">
        <v>1562</v>
      </c>
      <c r="E1240" t="s">
        <v>66</v>
      </c>
      <c r="F1240" t="b">
        <v>0</v>
      </c>
      <c r="G1240" t="b">
        <v>0</v>
      </c>
      <c r="H1240">
        <v>2.2000000000000002</v>
      </c>
      <c r="I1240" t="s">
        <v>159</v>
      </c>
      <c r="J1240" t="s">
        <v>159</v>
      </c>
      <c r="K1240" t="s">
        <v>159</v>
      </c>
      <c r="L1240" t="s">
        <v>159</v>
      </c>
      <c r="M1240" t="s">
        <v>159</v>
      </c>
      <c r="N1240" t="s">
        <v>159</v>
      </c>
      <c r="O1240" t="s">
        <v>159</v>
      </c>
      <c r="P1240" t="s">
        <v>159</v>
      </c>
      <c r="Q1240" t="s">
        <v>159</v>
      </c>
    </row>
    <row r="1241" spans="1:17">
      <c r="A1241">
        <v>2495.6</v>
      </c>
      <c r="B1241">
        <v>2417.4</v>
      </c>
      <c r="C1241">
        <v>1673</v>
      </c>
      <c r="D1241">
        <v>1563</v>
      </c>
      <c r="E1241" t="s">
        <v>66</v>
      </c>
      <c r="F1241" t="b">
        <v>0</v>
      </c>
      <c r="G1241" t="b">
        <v>0</v>
      </c>
      <c r="H1241">
        <v>1.6</v>
      </c>
      <c r="I1241" t="s">
        <v>159</v>
      </c>
      <c r="J1241" t="s">
        <v>159</v>
      </c>
      <c r="K1241" t="s">
        <v>159</v>
      </c>
      <c r="L1241" t="s">
        <v>159</v>
      </c>
      <c r="M1241" t="s">
        <v>159</v>
      </c>
      <c r="N1241" t="s">
        <v>159</v>
      </c>
      <c r="O1241" t="s">
        <v>159</v>
      </c>
      <c r="P1241" t="s">
        <v>159</v>
      </c>
      <c r="Q1241" t="s">
        <v>159</v>
      </c>
    </row>
    <row r="1242" spans="1:17">
      <c r="A1242">
        <v>2497.3000000000002</v>
      </c>
      <c r="B1242">
        <v>2419.1</v>
      </c>
      <c r="C1242">
        <v>1674</v>
      </c>
      <c r="D1242">
        <v>1564</v>
      </c>
      <c r="E1242" t="s">
        <v>66</v>
      </c>
      <c r="F1242" t="b">
        <v>0</v>
      </c>
      <c r="G1242" t="b">
        <v>0</v>
      </c>
      <c r="H1242">
        <v>1.6</v>
      </c>
      <c r="I1242" t="s">
        <v>159</v>
      </c>
      <c r="J1242" t="s">
        <v>159</v>
      </c>
      <c r="K1242" t="s">
        <v>159</v>
      </c>
      <c r="L1242" t="s">
        <v>159</v>
      </c>
      <c r="M1242" t="s">
        <v>159</v>
      </c>
      <c r="N1242" t="s">
        <v>159</v>
      </c>
      <c r="O1242" t="s">
        <v>159</v>
      </c>
      <c r="P1242" t="s">
        <v>159</v>
      </c>
      <c r="Q1242" t="s">
        <v>159</v>
      </c>
    </row>
    <row r="1243" spans="1:17">
      <c r="A1243">
        <v>2498.1999999999998</v>
      </c>
      <c r="B1243">
        <v>2420</v>
      </c>
      <c r="C1243">
        <v>1675</v>
      </c>
      <c r="D1243">
        <v>1565</v>
      </c>
      <c r="E1243" t="s">
        <v>66</v>
      </c>
      <c r="F1243" t="b">
        <v>0</v>
      </c>
      <c r="G1243" t="b">
        <v>0</v>
      </c>
      <c r="H1243">
        <v>0.9</v>
      </c>
      <c r="I1243" t="s">
        <v>159</v>
      </c>
      <c r="J1243" t="s">
        <v>159</v>
      </c>
      <c r="K1243" t="s">
        <v>159</v>
      </c>
      <c r="L1243" t="s">
        <v>159</v>
      </c>
      <c r="M1243" t="s">
        <v>159</v>
      </c>
      <c r="N1243" t="s">
        <v>159</v>
      </c>
      <c r="O1243" t="s">
        <v>159</v>
      </c>
      <c r="P1243" t="s">
        <v>159</v>
      </c>
      <c r="Q1243" t="s">
        <v>159</v>
      </c>
    </row>
    <row r="1244" spans="1:17">
      <c r="A1244">
        <v>2499.6999999999998</v>
      </c>
      <c r="B1244">
        <v>2421.5</v>
      </c>
      <c r="C1244">
        <v>1676</v>
      </c>
      <c r="D1244">
        <v>1566</v>
      </c>
      <c r="E1244" t="s">
        <v>66</v>
      </c>
      <c r="F1244" t="b">
        <v>0</v>
      </c>
      <c r="G1244" t="b">
        <v>0</v>
      </c>
      <c r="H1244">
        <v>1.6</v>
      </c>
      <c r="I1244" t="s">
        <v>159</v>
      </c>
      <c r="J1244" t="s">
        <v>159</v>
      </c>
      <c r="K1244" t="s">
        <v>159</v>
      </c>
      <c r="L1244" t="s">
        <v>159</v>
      </c>
      <c r="M1244" t="s">
        <v>159</v>
      </c>
      <c r="N1244" t="s">
        <v>159</v>
      </c>
      <c r="O1244" t="s">
        <v>159</v>
      </c>
      <c r="P1244" t="s">
        <v>159</v>
      </c>
      <c r="Q1244" t="s">
        <v>159</v>
      </c>
    </row>
    <row r="1245" spans="1:17">
      <c r="A1245">
        <v>2501</v>
      </c>
      <c r="B1245">
        <v>2422.8000000000002</v>
      </c>
      <c r="C1245">
        <v>1677</v>
      </c>
      <c r="D1245">
        <v>1567</v>
      </c>
      <c r="E1245" t="s">
        <v>66</v>
      </c>
      <c r="F1245" t="b">
        <v>0</v>
      </c>
      <c r="G1245" t="b">
        <v>0</v>
      </c>
      <c r="H1245">
        <v>1.2</v>
      </c>
      <c r="I1245" t="s">
        <v>159</v>
      </c>
      <c r="J1245" t="s">
        <v>159</v>
      </c>
      <c r="K1245" t="s">
        <v>159</v>
      </c>
      <c r="L1245" t="s">
        <v>159</v>
      </c>
      <c r="M1245" t="s">
        <v>159</v>
      </c>
      <c r="N1245" t="s">
        <v>159</v>
      </c>
      <c r="O1245" t="s">
        <v>159</v>
      </c>
      <c r="P1245" t="s">
        <v>159</v>
      </c>
      <c r="Q1245" t="s">
        <v>159</v>
      </c>
    </row>
    <row r="1246" spans="1:17">
      <c r="A1246">
        <v>2504.4</v>
      </c>
      <c r="B1246">
        <v>2426.1999999999998</v>
      </c>
      <c r="C1246">
        <v>1680</v>
      </c>
      <c r="D1246">
        <v>1568</v>
      </c>
      <c r="E1246" t="s">
        <v>66</v>
      </c>
      <c r="F1246" t="b">
        <v>0</v>
      </c>
      <c r="G1246" t="b">
        <v>0</v>
      </c>
      <c r="H1246">
        <v>3.5</v>
      </c>
      <c r="I1246" t="s">
        <v>159</v>
      </c>
      <c r="J1246" t="s">
        <v>159</v>
      </c>
      <c r="K1246" t="s">
        <v>159</v>
      </c>
      <c r="L1246" t="s">
        <v>159</v>
      </c>
      <c r="M1246" t="s">
        <v>159</v>
      </c>
      <c r="N1246" t="s">
        <v>159</v>
      </c>
      <c r="O1246" t="s">
        <v>159</v>
      </c>
      <c r="P1246" t="s">
        <v>159</v>
      </c>
      <c r="Q1246" t="s">
        <v>159</v>
      </c>
    </row>
    <row r="1247" spans="1:17">
      <c r="A1247">
        <v>2506.1</v>
      </c>
      <c r="B1247">
        <v>2427.9</v>
      </c>
      <c r="C1247">
        <v>1681</v>
      </c>
      <c r="D1247">
        <v>1569</v>
      </c>
      <c r="E1247" t="s">
        <v>66</v>
      </c>
      <c r="F1247" t="b">
        <v>0</v>
      </c>
      <c r="G1247" t="b">
        <v>0</v>
      </c>
      <c r="H1247">
        <v>1.7</v>
      </c>
      <c r="I1247" t="s">
        <v>159</v>
      </c>
      <c r="J1247" t="s">
        <v>159</v>
      </c>
      <c r="K1247" t="s">
        <v>159</v>
      </c>
      <c r="L1247" t="s">
        <v>159</v>
      </c>
      <c r="M1247" t="s">
        <v>159</v>
      </c>
      <c r="N1247" t="s">
        <v>159</v>
      </c>
      <c r="O1247" t="s">
        <v>159</v>
      </c>
      <c r="P1247" t="s">
        <v>159</v>
      </c>
      <c r="Q1247" t="s">
        <v>159</v>
      </c>
    </row>
    <row r="1248" spans="1:17">
      <c r="A1248">
        <v>2507.1</v>
      </c>
      <c r="B1248">
        <v>2428.9</v>
      </c>
      <c r="C1248">
        <v>1681</v>
      </c>
      <c r="D1248">
        <v>1570</v>
      </c>
      <c r="E1248" t="s">
        <v>66</v>
      </c>
      <c r="F1248" t="b">
        <v>0</v>
      </c>
      <c r="G1248" t="b">
        <v>0</v>
      </c>
      <c r="H1248">
        <v>0.9</v>
      </c>
      <c r="I1248" t="s">
        <v>159</v>
      </c>
      <c r="J1248" t="s">
        <v>159</v>
      </c>
      <c r="K1248" t="s">
        <v>159</v>
      </c>
      <c r="L1248" t="s">
        <v>159</v>
      </c>
      <c r="M1248" t="s">
        <v>159</v>
      </c>
      <c r="N1248" t="s">
        <v>159</v>
      </c>
      <c r="O1248" t="s">
        <v>159</v>
      </c>
      <c r="P1248" t="s">
        <v>159</v>
      </c>
      <c r="Q1248" t="s">
        <v>159</v>
      </c>
    </row>
    <row r="1249" spans="1:17">
      <c r="A1249">
        <v>2508.1</v>
      </c>
      <c r="B1249">
        <v>2429.9</v>
      </c>
      <c r="C1249">
        <v>1682</v>
      </c>
      <c r="D1249">
        <v>1571</v>
      </c>
      <c r="E1249" t="s">
        <v>66</v>
      </c>
      <c r="F1249" t="b">
        <v>0</v>
      </c>
      <c r="G1249" t="b">
        <v>0</v>
      </c>
      <c r="H1249">
        <v>1</v>
      </c>
      <c r="I1249" t="s">
        <v>159</v>
      </c>
      <c r="J1249" t="s">
        <v>159</v>
      </c>
      <c r="K1249" t="s">
        <v>159</v>
      </c>
      <c r="L1249" t="s">
        <v>159</v>
      </c>
      <c r="M1249" t="s">
        <v>159</v>
      </c>
      <c r="N1249" t="s">
        <v>159</v>
      </c>
      <c r="O1249" t="s">
        <v>159</v>
      </c>
      <c r="P1249" t="s">
        <v>159</v>
      </c>
      <c r="Q1249" t="s">
        <v>159</v>
      </c>
    </row>
    <row r="1250" spans="1:17">
      <c r="A1250">
        <v>2509.4</v>
      </c>
      <c r="B1250">
        <v>2431.1</v>
      </c>
      <c r="C1250">
        <v>1683</v>
      </c>
      <c r="D1250">
        <v>1572</v>
      </c>
      <c r="E1250" t="s">
        <v>66</v>
      </c>
      <c r="F1250" t="b">
        <v>0</v>
      </c>
      <c r="G1250" t="b">
        <v>0</v>
      </c>
      <c r="H1250">
        <v>1.2</v>
      </c>
      <c r="I1250" t="s">
        <v>159</v>
      </c>
      <c r="J1250" t="s">
        <v>159</v>
      </c>
      <c r="K1250" t="s">
        <v>159</v>
      </c>
      <c r="L1250" t="s">
        <v>159</v>
      </c>
      <c r="M1250" t="s">
        <v>159</v>
      </c>
      <c r="N1250" t="s">
        <v>159</v>
      </c>
      <c r="O1250" t="s">
        <v>159</v>
      </c>
      <c r="P1250" t="s">
        <v>159</v>
      </c>
      <c r="Q1250" t="s">
        <v>159</v>
      </c>
    </row>
    <row r="1251" spans="1:17">
      <c r="A1251">
        <v>2510.6</v>
      </c>
      <c r="B1251">
        <v>2432.4</v>
      </c>
      <c r="C1251">
        <v>1684</v>
      </c>
      <c r="D1251">
        <v>1573</v>
      </c>
      <c r="E1251" t="s">
        <v>66</v>
      </c>
      <c r="F1251" t="b">
        <v>0</v>
      </c>
      <c r="G1251" t="b">
        <v>0</v>
      </c>
      <c r="H1251">
        <v>1.3</v>
      </c>
      <c r="I1251" t="s">
        <v>159</v>
      </c>
      <c r="J1251" t="s">
        <v>159</v>
      </c>
      <c r="K1251" t="s">
        <v>159</v>
      </c>
      <c r="L1251" t="s">
        <v>159</v>
      </c>
      <c r="M1251" t="s">
        <v>159</v>
      </c>
      <c r="N1251" t="s">
        <v>159</v>
      </c>
      <c r="O1251" t="s">
        <v>159</v>
      </c>
      <c r="P1251" t="s">
        <v>159</v>
      </c>
      <c r="Q1251" t="s">
        <v>159</v>
      </c>
    </row>
    <row r="1252" spans="1:17">
      <c r="A1252">
        <v>2511.8000000000002</v>
      </c>
      <c r="B1252">
        <v>2433.5</v>
      </c>
      <c r="C1252">
        <v>1685</v>
      </c>
      <c r="D1252">
        <v>1574</v>
      </c>
      <c r="E1252" t="s">
        <v>66</v>
      </c>
      <c r="F1252" t="b">
        <v>0</v>
      </c>
      <c r="G1252" t="b">
        <v>0</v>
      </c>
      <c r="H1252">
        <v>1.1000000000000001</v>
      </c>
      <c r="I1252" t="s">
        <v>159</v>
      </c>
      <c r="J1252" t="s">
        <v>159</v>
      </c>
      <c r="K1252" t="s">
        <v>159</v>
      </c>
      <c r="L1252" t="s">
        <v>159</v>
      </c>
      <c r="M1252" t="s">
        <v>159</v>
      </c>
      <c r="N1252" t="s">
        <v>159</v>
      </c>
      <c r="O1252" t="s">
        <v>159</v>
      </c>
      <c r="P1252" t="s">
        <v>159</v>
      </c>
      <c r="Q1252" t="s">
        <v>159</v>
      </c>
    </row>
    <row r="1253" spans="1:17">
      <c r="A1253">
        <v>2513</v>
      </c>
      <c r="B1253">
        <v>2434.8000000000002</v>
      </c>
      <c r="C1253">
        <v>1686</v>
      </c>
      <c r="D1253">
        <v>1575</v>
      </c>
      <c r="E1253" t="s">
        <v>66</v>
      </c>
      <c r="F1253" t="b">
        <v>0</v>
      </c>
      <c r="G1253" t="b">
        <v>0</v>
      </c>
      <c r="H1253">
        <v>1.2</v>
      </c>
      <c r="I1253" t="s">
        <v>159</v>
      </c>
      <c r="J1253" t="s">
        <v>159</v>
      </c>
      <c r="K1253" t="s">
        <v>159</v>
      </c>
      <c r="L1253" t="s">
        <v>159</v>
      </c>
      <c r="M1253" t="s">
        <v>159</v>
      </c>
      <c r="N1253" t="s">
        <v>159</v>
      </c>
      <c r="O1253" t="s">
        <v>159</v>
      </c>
      <c r="P1253" t="s">
        <v>159</v>
      </c>
      <c r="Q1253" t="s">
        <v>159</v>
      </c>
    </row>
    <row r="1254" spans="1:17">
      <c r="A1254">
        <v>2514</v>
      </c>
      <c r="B1254">
        <v>2435.8000000000002</v>
      </c>
      <c r="C1254">
        <v>1686</v>
      </c>
      <c r="D1254">
        <v>1576</v>
      </c>
      <c r="E1254" t="s">
        <v>66</v>
      </c>
      <c r="F1254" t="b">
        <v>0</v>
      </c>
      <c r="G1254" t="b">
        <v>0</v>
      </c>
      <c r="H1254">
        <v>1</v>
      </c>
      <c r="I1254" t="s">
        <v>159</v>
      </c>
      <c r="J1254" t="s">
        <v>159</v>
      </c>
      <c r="K1254" t="s">
        <v>159</v>
      </c>
      <c r="L1254" t="s">
        <v>159</v>
      </c>
      <c r="M1254" t="s">
        <v>159</v>
      </c>
      <c r="N1254" t="s">
        <v>159</v>
      </c>
      <c r="O1254" t="s">
        <v>159</v>
      </c>
      <c r="P1254" t="s">
        <v>159</v>
      </c>
      <c r="Q1254" t="s">
        <v>159</v>
      </c>
    </row>
    <row r="1255" spans="1:17">
      <c r="A1255">
        <v>2516</v>
      </c>
      <c r="B1255">
        <v>2437.8000000000002</v>
      </c>
      <c r="C1255">
        <v>1688</v>
      </c>
      <c r="D1255">
        <v>1577</v>
      </c>
      <c r="E1255" t="s">
        <v>66</v>
      </c>
      <c r="F1255" t="b">
        <v>0</v>
      </c>
      <c r="G1255" t="b">
        <v>0</v>
      </c>
      <c r="H1255">
        <v>2</v>
      </c>
      <c r="I1255" t="s">
        <v>159</v>
      </c>
      <c r="J1255" t="s">
        <v>159</v>
      </c>
      <c r="K1255" t="s">
        <v>159</v>
      </c>
      <c r="L1255" t="s">
        <v>159</v>
      </c>
      <c r="M1255" t="s">
        <v>159</v>
      </c>
      <c r="N1255" t="s">
        <v>159</v>
      </c>
      <c r="O1255" t="s">
        <v>159</v>
      </c>
      <c r="P1255" t="s">
        <v>159</v>
      </c>
      <c r="Q1255" t="s">
        <v>159</v>
      </c>
    </row>
    <row r="1256" spans="1:17">
      <c r="A1256">
        <v>2517.6</v>
      </c>
      <c r="B1256">
        <v>2439.4</v>
      </c>
      <c r="C1256">
        <v>1689</v>
      </c>
      <c r="D1256">
        <v>1578</v>
      </c>
      <c r="E1256" t="s">
        <v>66</v>
      </c>
      <c r="F1256" t="b">
        <v>0</v>
      </c>
      <c r="G1256" t="b">
        <v>0</v>
      </c>
      <c r="H1256">
        <v>1.6</v>
      </c>
      <c r="I1256" t="s">
        <v>159</v>
      </c>
      <c r="J1256" t="s">
        <v>159</v>
      </c>
      <c r="K1256" t="s">
        <v>159</v>
      </c>
      <c r="L1256" t="s">
        <v>159</v>
      </c>
      <c r="M1256" t="s">
        <v>159</v>
      </c>
      <c r="N1256" t="s">
        <v>159</v>
      </c>
      <c r="O1256" t="s">
        <v>159</v>
      </c>
      <c r="P1256" t="s">
        <v>159</v>
      </c>
      <c r="Q1256" t="s">
        <v>159</v>
      </c>
    </row>
    <row r="1257" spans="1:17">
      <c r="A1257">
        <v>2519.4</v>
      </c>
      <c r="B1257">
        <v>2441.1999999999998</v>
      </c>
      <c r="C1257">
        <v>1690</v>
      </c>
      <c r="D1257">
        <v>1579</v>
      </c>
      <c r="E1257" t="s">
        <v>66</v>
      </c>
      <c r="F1257" t="b">
        <v>0</v>
      </c>
      <c r="G1257" t="b">
        <v>0</v>
      </c>
      <c r="H1257">
        <v>1.7</v>
      </c>
      <c r="I1257" t="s">
        <v>159</v>
      </c>
      <c r="J1257" t="s">
        <v>159</v>
      </c>
      <c r="K1257" t="s">
        <v>159</v>
      </c>
      <c r="L1257" t="s">
        <v>159</v>
      </c>
      <c r="M1257" t="s">
        <v>159</v>
      </c>
      <c r="N1257" t="s">
        <v>159</v>
      </c>
      <c r="O1257" t="s">
        <v>159</v>
      </c>
      <c r="P1257" t="s">
        <v>159</v>
      </c>
      <c r="Q1257" t="s">
        <v>159</v>
      </c>
    </row>
    <row r="1258" spans="1:17">
      <c r="A1258">
        <v>2520.6</v>
      </c>
      <c r="B1258">
        <v>2442.4</v>
      </c>
      <c r="C1258">
        <v>1691</v>
      </c>
      <c r="D1258">
        <v>1580</v>
      </c>
      <c r="E1258" t="s">
        <v>66</v>
      </c>
      <c r="F1258" t="b">
        <v>0</v>
      </c>
      <c r="G1258" t="b">
        <v>0</v>
      </c>
      <c r="H1258">
        <v>1.2</v>
      </c>
      <c r="I1258">
        <v>5.2990000000000004</v>
      </c>
      <c r="J1258" t="s">
        <v>159</v>
      </c>
      <c r="K1258" t="s">
        <v>159</v>
      </c>
      <c r="L1258" t="s">
        <v>159</v>
      </c>
      <c r="M1258" t="s">
        <v>159</v>
      </c>
      <c r="N1258" t="s">
        <v>159</v>
      </c>
      <c r="O1258" t="s">
        <v>159</v>
      </c>
      <c r="P1258" t="s">
        <v>159</v>
      </c>
      <c r="Q1258" t="s">
        <v>159</v>
      </c>
    </row>
    <row r="1259" spans="1:17">
      <c r="A1259">
        <v>2521.5</v>
      </c>
      <c r="B1259">
        <v>2443.3000000000002</v>
      </c>
      <c r="C1259">
        <v>1692</v>
      </c>
      <c r="D1259">
        <v>1581</v>
      </c>
      <c r="E1259" t="s">
        <v>66</v>
      </c>
      <c r="F1259" t="b">
        <v>0</v>
      </c>
      <c r="G1259" t="b">
        <v>0</v>
      </c>
      <c r="H1259">
        <v>1</v>
      </c>
      <c r="I1259">
        <v>5.2990000000000004</v>
      </c>
      <c r="J1259" t="s">
        <v>159</v>
      </c>
      <c r="K1259" t="s">
        <v>159</v>
      </c>
      <c r="L1259" t="s">
        <v>159</v>
      </c>
      <c r="M1259" t="s">
        <v>159</v>
      </c>
      <c r="N1259" t="s">
        <v>159</v>
      </c>
      <c r="O1259" t="s">
        <v>159</v>
      </c>
      <c r="P1259" t="s">
        <v>159</v>
      </c>
      <c r="Q1259" t="s">
        <v>159</v>
      </c>
    </row>
    <row r="1260" spans="1:17">
      <c r="A1260">
        <v>2523</v>
      </c>
      <c r="B1260">
        <v>2444.8000000000002</v>
      </c>
      <c r="C1260">
        <v>1693</v>
      </c>
      <c r="D1260">
        <v>1582</v>
      </c>
      <c r="E1260" t="s">
        <v>66</v>
      </c>
      <c r="F1260" t="b">
        <v>0</v>
      </c>
      <c r="G1260" t="b">
        <v>0</v>
      </c>
      <c r="H1260">
        <v>1.5</v>
      </c>
      <c r="I1260">
        <v>5.2990000000000004</v>
      </c>
      <c r="J1260" t="s">
        <v>159</v>
      </c>
      <c r="K1260" t="s">
        <v>159</v>
      </c>
      <c r="L1260" t="s">
        <v>159</v>
      </c>
      <c r="M1260" t="s">
        <v>159</v>
      </c>
      <c r="N1260" t="s">
        <v>159</v>
      </c>
      <c r="O1260" t="s">
        <v>159</v>
      </c>
      <c r="P1260" t="s">
        <v>159</v>
      </c>
      <c r="Q1260" t="s">
        <v>159</v>
      </c>
    </row>
    <row r="1261" spans="1:17">
      <c r="A1261">
        <v>2524.8000000000002</v>
      </c>
      <c r="B1261">
        <v>2446.6</v>
      </c>
      <c r="C1261">
        <v>1694</v>
      </c>
      <c r="D1261">
        <v>1583</v>
      </c>
      <c r="E1261" t="s">
        <v>66</v>
      </c>
      <c r="F1261" t="b">
        <v>0</v>
      </c>
      <c r="G1261" t="b">
        <v>0</v>
      </c>
      <c r="H1261">
        <v>1.8</v>
      </c>
      <c r="I1261">
        <v>5.2990000000000004</v>
      </c>
      <c r="J1261" t="s">
        <v>159</v>
      </c>
      <c r="K1261" t="s">
        <v>159</v>
      </c>
      <c r="L1261" t="s">
        <v>159</v>
      </c>
      <c r="M1261" t="s">
        <v>159</v>
      </c>
      <c r="N1261" t="s">
        <v>159</v>
      </c>
      <c r="O1261" t="s">
        <v>159</v>
      </c>
      <c r="P1261" t="s">
        <v>159</v>
      </c>
      <c r="Q1261" t="s">
        <v>159</v>
      </c>
    </row>
    <row r="1262" spans="1:17">
      <c r="A1262">
        <v>2526.6</v>
      </c>
      <c r="B1262">
        <v>2448.3000000000002</v>
      </c>
      <c r="C1262">
        <v>1695</v>
      </c>
      <c r="D1262">
        <v>1584</v>
      </c>
      <c r="E1262" t="s">
        <v>66</v>
      </c>
      <c r="F1262" t="b">
        <v>0</v>
      </c>
      <c r="G1262" t="b">
        <v>0</v>
      </c>
      <c r="H1262">
        <v>1.8</v>
      </c>
      <c r="I1262">
        <v>5.2990000000000004</v>
      </c>
      <c r="J1262" t="s">
        <v>159</v>
      </c>
      <c r="K1262" t="s">
        <v>159</v>
      </c>
      <c r="L1262" t="s">
        <v>159</v>
      </c>
      <c r="M1262" t="s">
        <v>159</v>
      </c>
      <c r="N1262" t="s">
        <v>159</v>
      </c>
      <c r="O1262" t="s">
        <v>159</v>
      </c>
      <c r="P1262" t="s">
        <v>159</v>
      </c>
      <c r="Q1262" t="s">
        <v>159</v>
      </c>
    </row>
    <row r="1263" spans="1:17">
      <c r="A1263">
        <v>2528.1999999999998</v>
      </c>
      <c r="B1263">
        <v>2450</v>
      </c>
      <c r="C1263">
        <v>1697</v>
      </c>
      <c r="D1263">
        <v>1585</v>
      </c>
      <c r="E1263" t="s">
        <v>66</v>
      </c>
      <c r="F1263" t="b">
        <v>0</v>
      </c>
      <c r="G1263" t="b">
        <v>0</v>
      </c>
      <c r="H1263">
        <v>1.7</v>
      </c>
      <c r="I1263">
        <v>5.2990000000000004</v>
      </c>
      <c r="J1263" t="s">
        <v>159</v>
      </c>
      <c r="K1263" t="s">
        <v>159</v>
      </c>
      <c r="L1263" t="s">
        <v>159</v>
      </c>
      <c r="M1263" t="s">
        <v>159</v>
      </c>
      <c r="N1263" t="s">
        <v>159</v>
      </c>
      <c r="O1263" t="s">
        <v>159</v>
      </c>
      <c r="P1263" t="s">
        <v>159</v>
      </c>
      <c r="Q1263" t="s">
        <v>159</v>
      </c>
    </row>
    <row r="1264" spans="1:17">
      <c r="A1264">
        <v>2529.5</v>
      </c>
      <c r="B1264">
        <v>2451.3000000000002</v>
      </c>
      <c r="C1264">
        <v>1698</v>
      </c>
      <c r="D1264">
        <v>1586</v>
      </c>
      <c r="E1264" t="s">
        <v>66</v>
      </c>
      <c r="F1264" t="b">
        <v>0</v>
      </c>
      <c r="G1264" t="b">
        <v>0</v>
      </c>
      <c r="H1264">
        <v>1.3</v>
      </c>
      <c r="I1264">
        <v>5.2990000000000004</v>
      </c>
      <c r="J1264" t="s">
        <v>159</v>
      </c>
      <c r="K1264" t="s">
        <v>159</v>
      </c>
      <c r="L1264" t="s">
        <v>159</v>
      </c>
      <c r="M1264" t="s">
        <v>159</v>
      </c>
      <c r="N1264" t="s">
        <v>159</v>
      </c>
      <c r="O1264" t="s">
        <v>159</v>
      </c>
      <c r="P1264" t="s">
        <v>159</v>
      </c>
      <c r="Q1264" t="s">
        <v>159</v>
      </c>
    </row>
    <row r="1265" spans="1:17">
      <c r="A1265">
        <v>2530.6999999999998</v>
      </c>
      <c r="B1265">
        <v>2452.5</v>
      </c>
      <c r="C1265">
        <v>1698</v>
      </c>
      <c r="D1265">
        <v>1587</v>
      </c>
      <c r="E1265" t="s">
        <v>66</v>
      </c>
      <c r="F1265" t="b">
        <v>0</v>
      </c>
      <c r="G1265" t="b">
        <v>0</v>
      </c>
      <c r="H1265">
        <v>1.2</v>
      </c>
      <c r="I1265">
        <v>5.2990000000000004</v>
      </c>
      <c r="J1265" t="s">
        <v>159</v>
      </c>
      <c r="K1265" t="s">
        <v>159</v>
      </c>
      <c r="L1265" t="s">
        <v>159</v>
      </c>
      <c r="M1265" t="s">
        <v>159</v>
      </c>
      <c r="N1265" t="s">
        <v>159</v>
      </c>
      <c r="O1265" t="s">
        <v>159</v>
      </c>
      <c r="P1265" t="s">
        <v>159</v>
      </c>
      <c r="Q1265" t="s">
        <v>159</v>
      </c>
    </row>
    <row r="1266" spans="1:17">
      <c r="A1266">
        <v>2531.9</v>
      </c>
      <c r="B1266">
        <v>2453.6999999999998</v>
      </c>
      <c r="C1266">
        <v>1699</v>
      </c>
      <c r="D1266">
        <v>1588</v>
      </c>
      <c r="E1266" t="s">
        <v>66</v>
      </c>
      <c r="F1266" t="b">
        <v>0</v>
      </c>
      <c r="G1266" t="b">
        <v>0</v>
      </c>
      <c r="H1266">
        <v>1.2</v>
      </c>
      <c r="I1266">
        <v>5.2990000000000004</v>
      </c>
      <c r="J1266" t="s">
        <v>159</v>
      </c>
      <c r="K1266" t="s">
        <v>159</v>
      </c>
      <c r="L1266" t="s">
        <v>159</v>
      </c>
      <c r="M1266" t="s">
        <v>159</v>
      </c>
      <c r="N1266" t="s">
        <v>159</v>
      </c>
      <c r="O1266" t="s">
        <v>159</v>
      </c>
      <c r="P1266" t="s">
        <v>159</v>
      </c>
      <c r="Q1266" t="s">
        <v>159</v>
      </c>
    </row>
    <row r="1267" spans="1:17">
      <c r="A1267">
        <v>2532.9</v>
      </c>
      <c r="B1267">
        <v>2454.6999999999998</v>
      </c>
      <c r="C1267">
        <v>1700</v>
      </c>
      <c r="D1267">
        <v>1589</v>
      </c>
      <c r="E1267" t="s">
        <v>66</v>
      </c>
      <c r="F1267" t="b">
        <v>0</v>
      </c>
      <c r="G1267" t="b">
        <v>0</v>
      </c>
      <c r="H1267">
        <v>1</v>
      </c>
      <c r="I1267">
        <v>5.2990000000000004</v>
      </c>
      <c r="J1267" t="s">
        <v>159</v>
      </c>
      <c r="K1267" t="s">
        <v>159</v>
      </c>
      <c r="L1267" t="s">
        <v>159</v>
      </c>
      <c r="M1267" t="s">
        <v>159</v>
      </c>
      <c r="N1267" t="s">
        <v>159</v>
      </c>
      <c r="O1267" t="s">
        <v>159</v>
      </c>
      <c r="P1267" t="s">
        <v>159</v>
      </c>
      <c r="Q1267" t="s">
        <v>159</v>
      </c>
    </row>
    <row r="1268" spans="1:17">
      <c r="A1268">
        <v>2534.6</v>
      </c>
      <c r="B1268">
        <v>2456.3000000000002</v>
      </c>
      <c r="C1268">
        <v>1701</v>
      </c>
      <c r="D1268">
        <v>1590</v>
      </c>
      <c r="E1268" t="s">
        <v>66</v>
      </c>
      <c r="F1268" t="b">
        <v>0</v>
      </c>
      <c r="G1268" t="b">
        <v>0</v>
      </c>
      <c r="H1268">
        <v>1.6</v>
      </c>
      <c r="I1268">
        <v>5.2990000000000004</v>
      </c>
      <c r="J1268" t="s">
        <v>159</v>
      </c>
      <c r="K1268" t="s">
        <v>159</v>
      </c>
      <c r="L1268" t="s">
        <v>159</v>
      </c>
      <c r="M1268" t="s">
        <v>159</v>
      </c>
      <c r="N1268" t="s">
        <v>159</v>
      </c>
      <c r="O1268" t="s">
        <v>159</v>
      </c>
      <c r="P1268" t="s">
        <v>159</v>
      </c>
      <c r="Q1268" t="s">
        <v>159</v>
      </c>
    </row>
    <row r="1269" spans="1:17">
      <c r="A1269">
        <v>2535.8000000000002</v>
      </c>
      <c r="B1269">
        <v>2457.5</v>
      </c>
      <c r="C1269">
        <v>1702</v>
      </c>
      <c r="D1269">
        <v>1591</v>
      </c>
      <c r="E1269" t="s">
        <v>66</v>
      </c>
      <c r="F1269" t="b">
        <v>0</v>
      </c>
      <c r="G1269" t="b">
        <v>0</v>
      </c>
      <c r="H1269">
        <v>1.2</v>
      </c>
      <c r="I1269">
        <v>5.2990000000000004</v>
      </c>
      <c r="J1269" t="s">
        <v>159</v>
      </c>
      <c r="K1269" t="s">
        <v>159</v>
      </c>
      <c r="L1269" t="s">
        <v>159</v>
      </c>
      <c r="M1269" t="s">
        <v>159</v>
      </c>
      <c r="N1269" t="s">
        <v>159</v>
      </c>
      <c r="O1269" t="s">
        <v>159</v>
      </c>
      <c r="P1269" t="s">
        <v>159</v>
      </c>
      <c r="Q1269" t="s">
        <v>159</v>
      </c>
    </row>
    <row r="1270" spans="1:17">
      <c r="A1270">
        <v>2536.8000000000002</v>
      </c>
      <c r="B1270">
        <v>2458.6</v>
      </c>
      <c r="C1270">
        <v>1703</v>
      </c>
      <c r="D1270">
        <v>1592</v>
      </c>
      <c r="E1270" t="s">
        <v>66</v>
      </c>
      <c r="F1270" t="b">
        <v>0</v>
      </c>
      <c r="G1270" t="b">
        <v>0</v>
      </c>
      <c r="H1270">
        <v>1</v>
      </c>
      <c r="I1270">
        <v>5.2990000000000004</v>
      </c>
      <c r="J1270" t="s">
        <v>159</v>
      </c>
      <c r="K1270" t="s">
        <v>159</v>
      </c>
      <c r="L1270" t="s">
        <v>159</v>
      </c>
      <c r="M1270" t="s">
        <v>159</v>
      </c>
      <c r="N1270" t="s">
        <v>159</v>
      </c>
      <c r="O1270" t="s">
        <v>159</v>
      </c>
      <c r="P1270" t="s">
        <v>159</v>
      </c>
      <c r="Q1270" t="s">
        <v>159</v>
      </c>
    </row>
    <row r="1271" spans="1:17">
      <c r="A1271">
        <v>2537.6999999999998</v>
      </c>
      <c r="B1271">
        <v>2459.4</v>
      </c>
      <c r="C1271">
        <v>1703</v>
      </c>
      <c r="D1271">
        <v>1593</v>
      </c>
      <c r="E1271" t="s">
        <v>66</v>
      </c>
      <c r="F1271" t="b">
        <v>0</v>
      </c>
      <c r="G1271" t="b">
        <v>0</v>
      </c>
      <c r="H1271">
        <v>0.9</v>
      </c>
      <c r="I1271">
        <v>5.2990000000000004</v>
      </c>
      <c r="J1271" t="s">
        <v>159</v>
      </c>
      <c r="K1271" t="s">
        <v>159</v>
      </c>
      <c r="L1271" t="s">
        <v>159</v>
      </c>
      <c r="M1271" t="s">
        <v>159</v>
      </c>
      <c r="N1271" t="s">
        <v>159</v>
      </c>
      <c r="O1271" t="s">
        <v>159</v>
      </c>
      <c r="P1271" t="s">
        <v>159</v>
      </c>
      <c r="Q1271" t="s">
        <v>159</v>
      </c>
    </row>
    <row r="1272" spans="1:17">
      <c r="A1272">
        <v>2539.6999999999998</v>
      </c>
      <c r="B1272">
        <v>2461.4</v>
      </c>
      <c r="C1272">
        <v>1705</v>
      </c>
      <c r="D1272">
        <v>1594</v>
      </c>
      <c r="E1272" t="s">
        <v>66</v>
      </c>
      <c r="F1272" t="b">
        <v>0</v>
      </c>
      <c r="G1272" t="b">
        <v>0</v>
      </c>
      <c r="H1272">
        <v>2</v>
      </c>
      <c r="I1272">
        <v>5.2990000000000004</v>
      </c>
      <c r="J1272" t="s">
        <v>159</v>
      </c>
      <c r="K1272" t="s">
        <v>159</v>
      </c>
      <c r="L1272" t="s">
        <v>159</v>
      </c>
      <c r="M1272" t="s">
        <v>159</v>
      </c>
      <c r="N1272" t="s">
        <v>159</v>
      </c>
      <c r="O1272" t="s">
        <v>159</v>
      </c>
      <c r="P1272" t="s">
        <v>159</v>
      </c>
      <c r="Q1272" t="s">
        <v>159</v>
      </c>
    </row>
    <row r="1273" spans="1:17">
      <c r="A1273">
        <v>2540.9</v>
      </c>
      <c r="B1273">
        <v>2462.6999999999998</v>
      </c>
      <c r="C1273">
        <v>1706</v>
      </c>
      <c r="D1273">
        <v>1595</v>
      </c>
      <c r="E1273" t="s">
        <v>66</v>
      </c>
      <c r="F1273" t="b">
        <v>0</v>
      </c>
      <c r="G1273" t="b">
        <v>0</v>
      </c>
      <c r="H1273">
        <v>1.2</v>
      </c>
      <c r="I1273" t="s">
        <v>159</v>
      </c>
      <c r="J1273" t="s">
        <v>159</v>
      </c>
      <c r="K1273" t="s">
        <v>159</v>
      </c>
      <c r="L1273" t="s">
        <v>159</v>
      </c>
      <c r="M1273" t="s">
        <v>159</v>
      </c>
      <c r="N1273" t="s">
        <v>159</v>
      </c>
      <c r="O1273" t="s">
        <v>159</v>
      </c>
      <c r="P1273" t="s">
        <v>159</v>
      </c>
      <c r="Q1273" t="s">
        <v>159</v>
      </c>
    </row>
    <row r="1274" spans="1:17">
      <c r="A1274">
        <v>2542</v>
      </c>
      <c r="B1274">
        <v>2463.8000000000002</v>
      </c>
      <c r="C1274">
        <v>1707</v>
      </c>
      <c r="D1274">
        <v>1596</v>
      </c>
      <c r="E1274" t="s">
        <v>66</v>
      </c>
      <c r="F1274" t="b">
        <v>0</v>
      </c>
      <c r="G1274" t="b">
        <v>0</v>
      </c>
      <c r="H1274">
        <v>1.1000000000000001</v>
      </c>
      <c r="I1274" t="s">
        <v>159</v>
      </c>
      <c r="J1274" t="s">
        <v>159</v>
      </c>
      <c r="K1274" t="s">
        <v>159</v>
      </c>
      <c r="L1274" t="s">
        <v>159</v>
      </c>
      <c r="M1274" t="s">
        <v>159</v>
      </c>
      <c r="N1274" t="s">
        <v>159</v>
      </c>
      <c r="O1274" t="s">
        <v>159</v>
      </c>
      <c r="P1274" t="s">
        <v>159</v>
      </c>
      <c r="Q1274" t="s">
        <v>159</v>
      </c>
    </row>
    <row r="1275" spans="1:17">
      <c r="A1275">
        <v>2543.4</v>
      </c>
      <c r="B1275">
        <v>2465.1999999999998</v>
      </c>
      <c r="C1275">
        <v>1708</v>
      </c>
      <c r="D1275">
        <v>1597</v>
      </c>
      <c r="E1275" t="s">
        <v>66</v>
      </c>
      <c r="F1275" t="b">
        <v>0</v>
      </c>
      <c r="G1275" t="b">
        <v>0</v>
      </c>
      <c r="H1275">
        <v>1.4</v>
      </c>
      <c r="I1275" t="s">
        <v>159</v>
      </c>
      <c r="J1275" t="s">
        <v>159</v>
      </c>
      <c r="K1275" t="s">
        <v>159</v>
      </c>
      <c r="L1275" t="s">
        <v>159</v>
      </c>
      <c r="M1275" t="s">
        <v>159</v>
      </c>
      <c r="N1275" t="s">
        <v>159</v>
      </c>
      <c r="O1275" t="s">
        <v>159</v>
      </c>
      <c r="P1275" t="s">
        <v>159</v>
      </c>
      <c r="Q1275" t="s">
        <v>159</v>
      </c>
    </row>
    <row r="1276" spans="1:17">
      <c r="A1276">
        <v>2544.8000000000002</v>
      </c>
      <c r="B1276">
        <v>2466.6</v>
      </c>
      <c r="C1276">
        <v>1709</v>
      </c>
      <c r="D1276">
        <v>1598</v>
      </c>
      <c r="E1276" t="s">
        <v>66</v>
      </c>
      <c r="F1276" t="b">
        <v>0</v>
      </c>
      <c r="G1276" t="b">
        <v>0</v>
      </c>
      <c r="H1276">
        <v>1.4</v>
      </c>
      <c r="I1276" t="s">
        <v>159</v>
      </c>
      <c r="J1276" t="s">
        <v>159</v>
      </c>
      <c r="K1276" t="s">
        <v>159</v>
      </c>
      <c r="L1276" t="s">
        <v>159</v>
      </c>
      <c r="M1276" t="s">
        <v>159</v>
      </c>
      <c r="N1276" t="s">
        <v>159</v>
      </c>
      <c r="O1276" t="s">
        <v>159</v>
      </c>
      <c r="P1276" t="s">
        <v>159</v>
      </c>
      <c r="Q1276" t="s">
        <v>159</v>
      </c>
    </row>
    <row r="1277" spans="1:17">
      <c r="A1277">
        <v>2546.6</v>
      </c>
      <c r="B1277">
        <v>2468.4</v>
      </c>
      <c r="C1277">
        <v>1710</v>
      </c>
      <c r="D1277">
        <v>1599</v>
      </c>
      <c r="E1277" t="s">
        <v>66</v>
      </c>
      <c r="F1277" t="b">
        <v>0</v>
      </c>
      <c r="G1277" t="b">
        <v>0</v>
      </c>
      <c r="H1277">
        <v>1.8</v>
      </c>
      <c r="I1277" t="s">
        <v>159</v>
      </c>
      <c r="J1277" t="s">
        <v>159</v>
      </c>
      <c r="K1277" t="s">
        <v>159</v>
      </c>
      <c r="L1277" t="s">
        <v>159</v>
      </c>
      <c r="M1277" t="s">
        <v>159</v>
      </c>
      <c r="N1277" t="s">
        <v>159</v>
      </c>
      <c r="O1277" t="s">
        <v>159</v>
      </c>
      <c r="P1277" t="s">
        <v>159</v>
      </c>
      <c r="Q1277" t="s">
        <v>159</v>
      </c>
    </row>
    <row r="1278" spans="1:17">
      <c r="A1278">
        <v>2547.9</v>
      </c>
      <c r="B1278">
        <v>2469.6999999999998</v>
      </c>
      <c r="C1278">
        <v>1711</v>
      </c>
      <c r="D1278">
        <v>1600</v>
      </c>
      <c r="E1278" t="s">
        <v>66</v>
      </c>
      <c r="F1278" t="b">
        <v>0</v>
      </c>
      <c r="G1278" t="b">
        <v>0</v>
      </c>
      <c r="H1278">
        <v>1.4</v>
      </c>
      <c r="I1278" t="s">
        <v>159</v>
      </c>
      <c r="J1278" t="s">
        <v>159</v>
      </c>
      <c r="K1278" t="s">
        <v>159</v>
      </c>
      <c r="L1278" t="s">
        <v>159</v>
      </c>
      <c r="M1278" t="s">
        <v>159</v>
      </c>
      <c r="N1278" t="s">
        <v>159</v>
      </c>
      <c r="O1278" t="s">
        <v>159</v>
      </c>
      <c r="P1278" t="s">
        <v>159</v>
      </c>
      <c r="Q1278" t="s">
        <v>159</v>
      </c>
    </row>
    <row r="1279" spans="1:17">
      <c r="A1279">
        <v>2548.9</v>
      </c>
      <c r="B1279">
        <v>2470.6</v>
      </c>
      <c r="C1279">
        <v>1711</v>
      </c>
      <c r="D1279">
        <v>1601</v>
      </c>
      <c r="E1279" t="s">
        <v>66</v>
      </c>
      <c r="F1279" t="b">
        <v>0</v>
      </c>
      <c r="G1279" t="b">
        <v>0</v>
      </c>
      <c r="H1279">
        <v>0.9</v>
      </c>
      <c r="I1279" t="s">
        <v>159</v>
      </c>
      <c r="J1279" t="s">
        <v>159</v>
      </c>
      <c r="K1279" t="s">
        <v>159</v>
      </c>
      <c r="L1279" t="s">
        <v>159</v>
      </c>
      <c r="M1279" t="s">
        <v>159</v>
      </c>
      <c r="N1279" t="s">
        <v>159</v>
      </c>
      <c r="O1279" t="s">
        <v>159</v>
      </c>
      <c r="P1279" t="s">
        <v>159</v>
      </c>
      <c r="Q1279" t="s">
        <v>159</v>
      </c>
    </row>
    <row r="1280" spans="1:17">
      <c r="A1280">
        <v>2550.1</v>
      </c>
      <c r="B1280">
        <v>2471.9</v>
      </c>
      <c r="C1280">
        <v>1712</v>
      </c>
      <c r="D1280">
        <v>1602</v>
      </c>
      <c r="E1280" t="s">
        <v>66</v>
      </c>
      <c r="F1280" t="b">
        <v>0</v>
      </c>
      <c r="G1280" t="b">
        <v>0</v>
      </c>
      <c r="H1280">
        <v>1.3</v>
      </c>
      <c r="I1280" t="s">
        <v>159</v>
      </c>
      <c r="J1280" t="s">
        <v>159</v>
      </c>
      <c r="K1280" t="s">
        <v>159</v>
      </c>
      <c r="L1280" t="s">
        <v>159</v>
      </c>
      <c r="M1280" t="s">
        <v>159</v>
      </c>
      <c r="N1280" t="s">
        <v>159</v>
      </c>
      <c r="O1280" t="s">
        <v>159</v>
      </c>
      <c r="P1280" t="s">
        <v>159</v>
      </c>
      <c r="Q1280" t="s">
        <v>159</v>
      </c>
    </row>
    <row r="1281" spans="1:17">
      <c r="A1281">
        <v>2552.1</v>
      </c>
      <c r="B1281">
        <v>2473.9</v>
      </c>
      <c r="C1281">
        <v>1714</v>
      </c>
      <c r="D1281">
        <v>1603</v>
      </c>
      <c r="E1281" t="s">
        <v>66</v>
      </c>
      <c r="F1281" t="b">
        <v>0</v>
      </c>
      <c r="G1281" t="b">
        <v>0</v>
      </c>
      <c r="H1281">
        <v>2</v>
      </c>
      <c r="I1281" t="s">
        <v>159</v>
      </c>
      <c r="J1281" t="s">
        <v>159</v>
      </c>
      <c r="K1281" t="s">
        <v>159</v>
      </c>
      <c r="L1281" t="s">
        <v>159</v>
      </c>
      <c r="M1281" t="s">
        <v>159</v>
      </c>
      <c r="N1281" t="s">
        <v>159</v>
      </c>
      <c r="O1281" t="s">
        <v>159</v>
      </c>
      <c r="P1281" t="s">
        <v>159</v>
      </c>
      <c r="Q1281" t="s">
        <v>159</v>
      </c>
    </row>
    <row r="1282" spans="1:17">
      <c r="A1282">
        <v>2554.5</v>
      </c>
      <c r="B1282">
        <v>2476.1999999999998</v>
      </c>
      <c r="C1282">
        <v>1716</v>
      </c>
      <c r="D1282">
        <v>1604</v>
      </c>
      <c r="E1282" t="s">
        <v>66</v>
      </c>
      <c r="F1282" t="b">
        <v>0</v>
      </c>
      <c r="G1282" t="b">
        <v>0</v>
      </c>
      <c r="H1282">
        <v>2.2999999999999998</v>
      </c>
      <c r="I1282" t="s">
        <v>159</v>
      </c>
      <c r="J1282" t="s">
        <v>159</v>
      </c>
      <c r="K1282" t="s">
        <v>159</v>
      </c>
      <c r="L1282" t="s">
        <v>159</v>
      </c>
      <c r="M1282" t="s">
        <v>159</v>
      </c>
      <c r="N1282" t="s">
        <v>159</v>
      </c>
      <c r="O1282" t="s">
        <v>159</v>
      </c>
      <c r="P1282" t="s">
        <v>159</v>
      </c>
      <c r="Q1282" t="s">
        <v>159</v>
      </c>
    </row>
    <row r="1283" spans="1:17">
      <c r="A1283">
        <v>2555.8000000000002</v>
      </c>
      <c r="B1283">
        <v>2477.6</v>
      </c>
      <c r="C1283">
        <v>1716</v>
      </c>
      <c r="D1283">
        <v>1605</v>
      </c>
      <c r="E1283" t="s">
        <v>66</v>
      </c>
      <c r="F1283" t="b">
        <v>0</v>
      </c>
      <c r="G1283" t="b">
        <v>0</v>
      </c>
      <c r="H1283">
        <v>1.3</v>
      </c>
      <c r="I1283" t="s">
        <v>159</v>
      </c>
      <c r="J1283">
        <v>0.75900000000000001</v>
      </c>
      <c r="K1283">
        <v>2.83</v>
      </c>
      <c r="L1283">
        <v>6.22</v>
      </c>
      <c r="M1283">
        <v>12.4</v>
      </c>
      <c r="N1283">
        <v>21.9</v>
      </c>
      <c r="O1283">
        <v>19.600000000000001</v>
      </c>
      <c r="P1283">
        <v>79.34</v>
      </c>
      <c r="Q1283">
        <v>1.06</v>
      </c>
    </row>
    <row r="1284" spans="1:17">
      <c r="A1284">
        <v>2558.1</v>
      </c>
      <c r="B1284">
        <v>2479.8000000000002</v>
      </c>
      <c r="C1284">
        <v>1718</v>
      </c>
      <c r="D1284">
        <v>1606</v>
      </c>
      <c r="E1284" t="s">
        <v>66</v>
      </c>
      <c r="F1284" t="b">
        <v>0</v>
      </c>
      <c r="G1284" t="b">
        <v>0</v>
      </c>
      <c r="H1284">
        <v>2.2999999999999998</v>
      </c>
      <c r="I1284" t="s">
        <v>159</v>
      </c>
      <c r="J1284">
        <v>0.75900000000000001</v>
      </c>
      <c r="K1284">
        <v>2.83</v>
      </c>
      <c r="L1284">
        <v>6.22</v>
      </c>
      <c r="M1284">
        <v>12.4</v>
      </c>
      <c r="N1284">
        <v>21.9</v>
      </c>
      <c r="O1284">
        <v>19.600000000000001</v>
      </c>
      <c r="P1284">
        <v>79.34</v>
      </c>
      <c r="Q1284">
        <v>1.06</v>
      </c>
    </row>
    <row r="1285" spans="1:17">
      <c r="A1285">
        <v>2561.6</v>
      </c>
      <c r="B1285">
        <v>2483.4</v>
      </c>
      <c r="C1285">
        <v>1721</v>
      </c>
      <c r="D1285">
        <v>1607</v>
      </c>
      <c r="E1285" t="s">
        <v>66</v>
      </c>
      <c r="F1285" t="b">
        <v>0</v>
      </c>
      <c r="G1285" t="b">
        <v>0</v>
      </c>
      <c r="H1285">
        <v>3.6</v>
      </c>
      <c r="I1285" t="s">
        <v>159</v>
      </c>
      <c r="J1285">
        <v>0.75900000000000001</v>
      </c>
      <c r="K1285">
        <v>2.83</v>
      </c>
      <c r="L1285">
        <v>6.22</v>
      </c>
      <c r="M1285">
        <v>12.4</v>
      </c>
      <c r="N1285">
        <v>21.9</v>
      </c>
      <c r="O1285">
        <v>19.600000000000001</v>
      </c>
      <c r="P1285">
        <v>79.34</v>
      </c>
      <c r="Q1285">
        <v>1.06</v>
      </c>
    </row>
    <row r="1286" spans="1:17">
      <c r="A1286">
        <v>2563.9</v>
      </c>
      <c r="B1286">
        <v>2485.6999999999998</v>
      </c>
      <c r="C1286">
        <v>1722</v>
      </c>
      <c r="D1286">
        <v>1608</v>
      </c>
      <c r="E1286" t="s">
        <v>66</v>
      </c>
      <c r="F1286" t="b">
        <v>0</v>
      </c>
      <c r="G1286" t="b">
        <v>0</v>
      </c>
      <c r="H1286">
        <v>2.2999999999999998</v>
      </c>
      <c r="I1286" t="s">
        <v>159</v>
      </c>
      <c r="J1286">
        <v>0.75900000000000001</v>
      </c>
      <c r="K1286">
        <v>2.83</v>
      </c>
      <c r="L1286">
        <v>6.22</v>
      </c>
      <c r="M1286">
        <v>12.4</v>
      </c>
      <c r="N1286">
        <v>21.9</v>
      </c>
      <c r="O1286">
        <v>19.600000000000001</v>
      </c>
      <c r="P1286">
        <v>79.34</v>
      </c>
      <c r="Q1286">
        <v>1.06</v>
      </c>
    </row>
    <row r="1287" spans="1:17">
      <c r="A1287">
        <v>2566</v>
      </c>
      <c r="B1287">
        <v>2487.6999999999998</v>
      </c>
      <c r="C1287">
        <v>1724</v>
      </c>
      <c r="D1287">
        <v>1609</v>
      </c>
      <c r="E1287" t="s">
        <v>66</v>
      </c>
      <c r="F1287" t="b">
        <v>0</v>
      </c>
      <c r="G1287" t="b">
        <v>0</v>
      </c>
      <c r="H1287">
        <v>2.1</v>
      </c>
      <c r="I1287" t="s">
        <v>159</v>
      </c>
      <c r="J1287">
        <v>0.75900000000000001</v>
      </c>
      <c r="K1287">
        <v>2.83</v>
      </c>
      <c r="L1287">
        <v>6.22</v>
      </c>
      <c r="M1287">
        <v>12.4</v>
      </c>
      <c r="N1287">
        <v>21.9</v>
      </c>
      <c r="O1287">
        <v>19.600000000000001</v>
      </c>
      <c r="P1287">
        <v>79.34</v>
      </c>
      <c r="Q1287">
        <v>1.06</v>
      </c>
    </row>
    <row r="1288" spans="1:17">
      <c r="A1288">
        <v>2567.9</v>
      </c>
      <c r="B1288">
        <v>2489.6999999999998</v>
      </c>
      <c r="C1288">
        <v>1725</v>
      </c>
      <c r="D1288">
        <v>1610</v>
      </c>
      <c r="E1288" t="s">
        <v>66</v>
      </c>
      <c r="F1288" t="b">
        <v>0</v>
      </c>
      <c r="G1288" t="b">
        <v>0</v>
      </c>
      <c r="H1288">
        <v>2</v>
      </c>
      <c r="I1288" t="s">
        <v>159</v>
      </c>
      <c r="J1288">
        <v>0.75900000000000001</v>
      </c>
      <c r="K1288">
        <v>2.83</v>
      </c>
      <c r="L1288">
        <v>6.22</v>
      </c>
      <c r="M1288">
        <v>12.4</v>
      </c>
      <c r="N1288">
        <v>21.9</v>
      </c>
      <c r="O1288">
        <v>19.600000000000001</v>
      </c>
      <c r="P1288">
        <v>79.34</v>
      </c>
      <c r="Q1288">
        <v>1.06</v>
      </c>
    </row>
    <row r="1289" spans="1:17">
      <c r="A1289">
        <v>2571.6999999999998</v>
      </c>
      <c r="B1289">
        <v>2493.4</v>
      </c>
      <c r="C1289">
        <v>1728</v>
      </c>
      <c r="D1289">
        <v>1611</v>
      </c>
      <c r="E1289" t="s">
        <v>66</v>
      </c>
      <c r="F1289" t="b">
        <v>0</v>
      </c>
      <c r="G1289" t="b">
        <v>0</v>
      </c>
      <c r="H1289">
        <v>3.7</v>
      </c>
      <c r="I1289">
        <v>5.8710000000000004</v>
      </c>
      <c r="J1289">
        <v>0.75900000000000001</v>
      </c>
      <c r="K1289">
        <v>2.83</v>
      </c>
      <c r="L1289">
        <v>6.22</v>
      </c>
      <c r="M1289">
        <v>12.4</v>
      </c>
      <c r="N1289">
        <v>21.9</v>
      </c>
      <c r="O1289">
        <v>19.600000000000001</v>
      </c>
      <c r="P1289">
        <v>79.34</v>
      </c>
      <c r="Q1289">
        <v>1.06</v>
      </c>
    </row>
    <row r="1290" spans="1:17">
      <c r="A1290">
        <v>2574.4</v>
      </c>
      <c r="B1290">
        <v>2496.1</v>
      </c>
      <c r="C1290">
        <v>1730</v>
      </c>
      <c r="D1290">
        <v>1612</v>
      </c>
      <c r="E1290" t="s">
        <v>66</v>
      </c>
      <c r="F1290" t="b">
        <v>0</v>
      </c>
      <c r="G1290" t="b">
        <v>0</v>
      </c>
      <c r="H1290">
        <v>2.7</v>
      </c>
      <c r="I1290">
        <v>5.8710000000000004</v>
      </c>
      <c r="J1290">
        <v>0.75900000000000001</v>
      </c>
      <c r="K1290">
        <v>2.83</v>
      </c>
      <c r="L1290">
        <v>6.22</v>
      </c>
      <c r="M1290">
        <v>12.4</v>
      </c>
      <c r="N1290">
        <v>21.9</v>
      </c>
      <c r="O1290">
        <v>19.600000000000001</v>
      </c>
      <c r="P1290">
        <v>79.34</v>
      </c>
      <c r="Q1290">
        <v>1.06</v>
      </c>
    </row>
    <row r="1291" spans="1:17">
      <c r="A1291">
        <v>2576.6</v>
      </c>
      <c r="B1291">
        <v>2498.4</v>
      </c>
      <c r="C1291">
        <v>1731</v>
      </c>
      <c r="D1291">
        <v>1613</v>
      </c>
      <c r="E1291" t="s">
        <v>66</v>
      </c>
      <c r="F1291" t="b">
        <v>0</v>
      </c>
      <c r="G1291" t="b">
        <v>0</v>
      </c>
      <c r="H1291">
        <v>2.2000000000000002</v>
      </c>
      <c r="I1291">
        <v>5.8710000000000004</v>
      </c>
      <c r="J1291" t="s">
        <v>159</v>
      </c>
      <c r="K1291" t="s">
        <v>159</v>
      </c>
      <c r="L1291" t="s">
        <v>159</v>
      </c>
      <c r="M1291" t="s">
        <v>159</v>
      </c>
      <c r="N1291" t="s">
        <v>159</v>
      </c>
      <c r="O1291" t="s">
        <v>159</v>
      </c>
      <c r="P1291" t="s">
        <v>159</v>
      </c>
      <c r="Q1291" t="s">
        <v>159</v>
      </c>
    </row>
    <row r="1292" spans="1:17">
      <c r="A1292">
        <v>2578.1999999999998</v>
      </c>
      <c r="B1292">
        <v>2500</v>
      </c>
      <c r="C1292">
        <v>1733</v>
      </c>
      <c r="D1292">
        <v>1614</v>
      </c>
      <c r="E1292" t="s">
        <v>66</v>
      </c>
      <c r="F1292" t="b">
        <v>0</v>
      </c>
      <c r="G1292" t="b">
        <v>0</v>
      </c>
      <c r="H1292">
        <v>1.6</v>
      </c>
      <c r="I1292">
        <v>5.8710000000000004</v>
      </c>
      <c r="J1292" t="s">
        <v>159</v>
      </c>
      <c r="K1292" t="s">
        <v>159</v>
      </c>
      <c r="L1292" t="s">
        <v>159</v>
      </c>
      <c r="M1292" t="s">
        <v>159</v>
      </c>
      <c r="N1292" t="s">
        <v>159</v>
      </c>
      <c r="O1292" t="s">
        <v>159</v>
      </c>
      <c r="P1292" t="s">
        <v>159</v>
      </c>
      <c r="Q1292" t="s">
        <v>159</v>
      </c>
    </row>
    <row r="1293" spans="1:17">
      <c r="A1293">
        <v>2580.3000000000002</v>
      </c>
      <c r="B1293">
        <v>2502.1</v>
      </c>
      <c r="C1293">
        <v>1734</v>
      </c>
      <c r="D1293">
        <v>1615</v>
      </c>
      <c r="E1293" t="s">
        <v>66</v>
      </c>
      <c r="F1293" t="b">
        <v>0</v>
      </c>
      <c r="G1293" t="b">
        <v>0</v>
      </c>
      <c r="H1293">
        <v>2.1</v>
      </c>
      <c r="I1293">
        <v>5.8710000000000004</v>
      </c>
      <c r="J1293" t="s">
        <v>159</v>
      </c>
      <c r="K1293" t="s">
        <v>159</v>
      </c>
      <c r="L1293" t="s">
        <v>159</v>
      </c>
      <c r="M1293" t="s">
        <v>159</v>
      </c>
      <c r="N1293" t="s">
        <v>159</v>
      </c>
      <c r="O1293" t="s">
        <v>159</v>
      </c>
      <c r="P1293" t="s">
        <v>159</v>
      </c>
      <c r="Q1293" t="s">
        <v>159</v>
      </c>
    </row>
    <row r="1294" spans="1:17">
      <c r="A1294">
        <v>2581.8000000000002</v>
      </c>
      <c r="B1294">
        <v>2503.6</v>
      </c>
      <c r="C1294">
        <v>1735</v>
      </c>
      <c r="D1294">
        <v>1616</v>
      </c>
      <c r="E1294" t="s">
        <v>66</v>
      </c>
      <c r="F1294" t="b">
        <v>0</v>
      </c>
      <c r="G1294" t="b">
        <v>0</v>
      </c>
      <c r="H1294">
        <v>1.5</v>
      </c>
      <c r="I1294">
        <v>5.8710000000000004</v>
      </c>
      <c r="J1294" t="s">
        <v>159</v>
      </c>
      <c r="K1294" t="s">
        <v>159</v>
      </c>
      <c r="L1294" t="s">
        <v>159</v>
      </c>
      <c r="M1294" t="s">
        <v>159</v>
      </c>
      <c r="N1294" t="s">
        <v>159</v>
      </c>
      <c r="O1294" t="s">
        <v>159</v>
      </c>
      <c r="P1294" t="s">
        <v>159</v>
      </c>
      <c r="Q1294" t="s">
        <v>159</v>
      </c>
    </row>
    <row r="1295" spans="1:17">
      <c r="A1295">
        <v>2583.1</v>
      </c>
      <c r="B1295">
        <v>2504.9</v>
      </c>
      <c r="C1295">
        <v>1736</v>
      </c>
      <c r="D1295">
        <v>1617</v>
      </c>
      <c r="E1295" t="s">
        <v>66</v>
      </c>
      <c r="F1295" t="b">
        <v>0</v>
      </c>
      <c r="G1295" t="b">
        <v>0</v>
      </c>
      <c r="H1295">
        <v>1.3</v>
      </c>
      <c r="I1295">
        <v>5.8710000000000004</v>
      </c>
      <c r="J1295" t="s">
        <v>159</v>
      </c>
      <c r="K1295" t="s">
        <v>159</v>
      </c>
      <c r="L1295" t="s">
        <v>159</v>
      </c>
      <c r="M1295" t="s">
        <v>159</v>
      </c>
      <c r="N1295" t="s">
        <v>159</v>
      </c>
      <c r="O1295" t="s">
        <v>159</v>
      </c>
      <c r="P1295" t="s">
        <v>159</v>
      </c>
      <c r="Q1295" t="s">
        <v>159</v>
      </c>
    </row>
    <row r="1296" spans="1:17">
      <c r="A1296">
        <v>2584.1999999999998</v>
      </c>
      <c r="B1296">
        <v>2505.9</v>
      </c>
      <c r="C1296">
        <v>1737</v>
      </c>
      <c r="D1296">
        <v>1618</v>
      </c>
      <c r="E1296" t="s">
        <v>66</v>
      </c>
      <c r="F1296" t="b">
        <v>0</v>
      </c>
      <c r="G1296" t="b">
        <v>0</v>
      </c>
      <c r="H1296">
        <v>1.1000000000000001</v>
      </c>
      <c r="I1296">
        <v>5.8710000000000004</v>
      </c>
      <c r="J1296" t="s">
        <v>159</v>
      </c>
      <c r="K1296" t="s">
        <v>159</v>
      </c>
      <c r="L1296" t="s">
        <v>159</v>
      </c>
      <c r="M1296" t="s">
        <v>159</v>
      </c>
      <c r="N1296" t="s">
        <v>159</v>
      </c>
      <c r="O1296" t="s">
        <v>159</v>
      </c>
      <c r="P1296" t="s">
        <v>159</v>
      </c>
      <c r="Q1296" t="s">
        <v>159</v>
      </c>
    </row>
    <row r="1297" spans="1:17">
      <c r="A1297">
        <v>2585.6</v>
      </c>
      <c r="B1297">
        <v>2507.4</v>
      </c>
      <c r="C1297">
        <v>1738</v>
      </c>
      <c r="D1297">
        <v>1619</v>
      </c>
      <c r="E1297" t="s">
        <v>66</v>
      </c>
      <c r="F1297" t="b">
        <v>0</v>
      </c>
      <c r="G1297" t="b">
        <v>0</v>
      </c>
      <c r="H1297">
        <v>1.4</v>
      </c>
      <c r="I1297">
        <v>5.8710000000000004</v>
      </c>
      <c r="J1297" t="s">
        <v>159</v>
      </c>
      <c r="K1297" t="s">
        <v>159</v>
      </c>
      <c r="L1297" t="s">
        <v>159</v>
      </c>
      <c r="M1297" t="s">
        <v>159</v>
      </c>
      <c r="N1297" t="s">
        <v>159</v>
      </c>
      <c r="O1297" t="s">
        <v>159</v>
      </c>
      <c r="P1297" t="s">
        <v>159</v>
      </c>
      <c r="Q1297" t="s">
        <v>159</v>
      </c>
    </row>
    <row r="1298" spans="1:17">
      <c r="A1298">
        <v>2588.1</v>
      </c>
      <c r="B1298">
        <v>2509.9</v>
      </c>
      <c r="C1298">
        <v>1740</v>
      </c>
      <c r="D1298">
        <v>1620</v>
      </c>
      <c r="E1298" t="s">
        <v>66</v>
      </c>
      <c r="F1298" t="b">
        <v>0</v>
      </c>
      <c r="G1298" t="b">
        <v>0</v>
      </c>
      <c r="H1298">
        <v>2.5</v>
      </c>
      <c r="I1298">
        <v>5.8710000000000004</v>
      </c>
      <c r="J1298" t="s">
        <v>159</v>
      </c>
      <c r="K1298" t="s">
        <v>159</v>
      </c>
      <c r="L1298" t="s">
        <v>159</v>
      </c>
      <c r="M1298" t="s">
        <v>159</v>
      </c>
      <c r="N1298" t="s">
        <v>159</v>
      </c>
      <c r="O1298" t="s">
        <v>159</v>
      </c>
      <c r="P1298" t="s">
        <v>159</v>
      </c>
      <c r="Q1298" t="s">
        <v>159</v>
      </c>
    </row>
    <row r="1299" spans="1:17">
      <c r="A1299">
        <v>2589.6999999999998</v>
      </c>
      <c r="B1299">
        <v>2511.4</v>
      </c>
      <c r="C1299">
        <v>1741</v>
      </c>
      <c r="D1299">
        <v>1621</v>
      </c>
      <c r="E1299" t="s">
        <v>66</v>
      </c>
      <c r="F1299" t="b">
        <v>0</v>
      </c>
      <c r="G1299" t="b">
        <v>0</v>
      </c>
      <c r="H1299">
        <v>1.6</v>
      </c>
      <c r="I1299">
        <v>5.8710000000000004</v>
      </c>
      <c r="J1299" t="s">
        <v>159</v>
      </c>
      <c r="K1299" t="s">
        <v>159</v>
      </c>
      <c r="L1299" t="s">
        <v>159</v>
      </c>
      <c r="M1299" t="s">
        <v>159</v>
      </c>
      <c r="N1299" t="s">
        <v>159</v>
      </c>
      <c r="O1299" t="s">
        <v>159</v>
      </c>
      <c r="P1299" t="s">
        <v>159</v>
      </c>
      <c r="Q1299" t="s">
        <v>159</v>
      </c>
    </row>
    <row r="1300" spans="1:17">
      <c r="A1300">
        <v>2591.6</v>
      </c>
      <c r="B1300">
        <v>2513.4</v>
      </c>
      <c r="C1300">
        <v>1742</v>
      </c>
      <c r="D1300">
        <v>1622</v>
      </c>
      <c r="E1300" t="s">
        <v>66</v>
      </c>
      <c r="F1300" t="b">
        <v>0</v>
      </c>
      <c r="G1300" t="b">
        <v>0</v>
      </c>
      <c r="H1300">
        <v>1.9</v>
      </c>
      <c r="I1300" t="s">
        <v>159</v>
      </c>
      <c r="J1300" t="s">
        <v>159</v>
      </c>
      <c r="K1300" t="s">
        <v>159</v>
      </c>
      <c r="L1300" t="s">
        <v>159</v>
      </c>
      <c r="M1300" t="s">
        <v>159</v>
      </c>
      <c r="N1300" t="s">
        <v>159</v>
      </c>
      <c r="O1300" t="s">
        <v>159</v>
      </c>
      <c r="P1300" t="s">
        <v>159</v>
      </c>
      <c r="Q1300" t="s">
        <v>159</v>
      </c>
    </row>
    <row r="1301" spans="1:17">
      <c r="A1301">
        <v>2595.1</v>
      </c>
      <c r="B1301">
        <v>2516.9</v>
      </c>
      <c r="C1301">
        <v>1745</v>
      </c>
      <c r="D1301">
        <v>1623</v>
      </c>
      <c r="E1301" t="s">
        <v>66</v>
      </c>
      <c r="F1301" t="b">
        <v>0</v>
      </c>
      <c r="G1301" t="b">
        <v>0</v>
      </c>
      <c r="H1301">
        <v>3.5</v>
      </c>
      <c r="I1301">
        <v>4.9189999999999996</v>
      </c>
      <c r="J1301" t="s">
        <v>159</v>
      </c>
      <c r="K1301" t="s">
        <v>159</v>
      </c>
      <c r="L1301" t="s">
        <v>159</v>
      </c>
      <c r="M1301" t="s">
        <v>159</v>
      </c>
      <c r="N1301" t="s">
        <v>159</v>
      </c>
      <c r="O1301" t="s">
        <v>159</v>
      </c>
      <c r="P1301" t="s">
        <v>159</v>
      </c>
      <c r="Q1301" t="s">
        <v>159</v>
      </c>
    </row>
    <row r="1302" spans="1:17">
      <c r="A1302">
        <v>2597.6999999999998</v>
      </c>
      <c r="B1302">
        <v>2519.5</v>
      </c>
      <c r="C1302">
        <v>1747</v>
      </c>
      <c r="D1302">
        <v>1624</v>
      </c>
      <c r="E1302" t="s">
        <v>66</v>
      </c>
      <c r="F1302" t="b">
        <v>0</v>
      </c>
      <c r="G1302" t="b">
        <v>0</v>
      </c>
      <c r="H1302">
        <v>2.7</v>
      </c>
      <c r="I1302">
        <v>4.9189999999999996</v>
      </c>
      <c r="J1302" t="s">
        <v>159</v>
      </c>
      <c r="K1302" t="s">
        <v>159</v>
      </c>
      <c r="L1302" t="s">
        <v>159</v>
      </c>
      <c r="M1302" t="s">
        <v>159</v>
      </c>
      <c r="N1302" t="s">
        <v>159</v>
      </c>
      <c r="O1302" t="s">
        <v>159</v>
      </c>
      <c r="P1302" t="s">
        <v>159</v>
      </c>
      <c r="Q1302" t="s">
        <v>159</v>
      </c>
    </row>
    <row r="1303" spans="1:17">
      <c r="A1303">
        <v>2600.5</v>
      </c>
      <c r="B1303">
        <v>2522.3000000000002</v>
      </c>
      <c r="C1303">
        <v>1749</v>
      </c>
      <c r="D1303">
        <v>1625</v>
      </c>
      <c r="E1303" t="s">
        <v>66</v>
      </c>
      <c r="F1303" t="b">
        <v>0</v>
      </c>
      <c r="G1303" t="b">
        <v>0</v>
      </c>
      <c r="H1303">
        <v>2.8</v>
      </c>
      <c r="I1303">
        <v>4.9189999999999996</v>
      </c>
      <c r="J1303" t="s">
        <v>159</v>
      </c>
      <c r="K1303" t="s">
        <v>159</v>
      </c>
      <c r="L1303" t="s">
        <v>159</v>
      </c>
      <c r="M1303" t="s">
        <v>159</v>
      </c>
      <c r="N1303" t="s">
        <v>159</v>
      </c>
      <c r="O1303" t="s">
        <v>159</v>
      </c>
      <c r="P1303" t="s">
        <v>159</v>
      </c>
      <c r="Q1303" t="s">
        <v>159</v>
      </c>
    </row>
    <row r="1304" spans="1:17">
      <c r="A1304">
        <v>2602.1999999999998</v>
      </c>
      <c r="B1304">
        <v>2524</v>
      </c>
      <c r="C1304">
        <v>1750</v>
      </c>
      <c r="D1304">
        <v>1626</v>
      </c>
      <c r="E1304" t="s">
        <v>66</v>
      </c>
      <c r="F1304" t="b">
        <v>0</v>
      </c>
      <c r="G1304" t="b">
        <v>0</v>
      </c>
      <c r="H1304">
        <v>1.7</v>
      </c>
      <c r="I1304">
        <v>4.9189999999999996</v>
      </c>
      <c r="J1304" t="s">
        <v>159</v>
      </c>
      <c r="K1304" t="s">
        <v>159</v>
      </c>
      <c r="L1304" t="s">
        <v>159</v>
      </c>
      <c r="M1304" t="s">
        <v>159</v>
      </c>
      <c r="N1304" t="s">
        <v>159</v>
      </c>
      <c r="O1304" t="s">
        <v>159</v>
      </c>
      <c r="P1304" t="s">
        <v>159</v>
      </c>
      <c r="Q1304" t="s">
        <v>159</v>
      </c>
    </row>
    <row r="1305" spans="1:17">
      <c r="A1305">
        <v>2604.6</v>
      </c>
      <c r="B1305">
        <v>2526.4</v>
      </c>
      <c r="C1305">
        <v>1752</v>
      </c>
      <c r="D1305">
        <v>1627</v>
      </c>
      <c r="E1305" t="s">
        <v>66</v>
      </c>
      <c r="F1305" t="b">
        <v>0</v>
      </c>
      <c r="G1305" t="b">
        <v>0</v>
      </c>
      <c r="H1305">
        <v>2.4</v>
      </c>
      <c r="I1305">
        <v>4.9189999999999996</v>
      </c>
      <c r="J1305" t="s">
        <v>159</v>
      </c>
      <c r="K1305" t="s">
        <v>159</v>
      </c>
      <c r="L1305" t="s">
        <v>159</v>
      </c>
      <c r="M1305" t="s">
        <v>159</v>
      </c>
      <c r="N1305" t="s">
        <v>159</v>
      </c>
      <c r="O1305" t="s">
        <v>159</v>
      </c>
      <c r="P1305" t="s">
        <v>159</v>
      </c>
      <c r="Q1305" t="s">
        <v>159</v>
      </c>
    </row>
    <row r="1306" spans="1:17">
      <c r="A1306">
        <v>2606.3000000000002</v>
      </c>
      <c r="B1306">
        <v>2528.1</v>
      </c>
      <c r="C1306">
        <v>1753</v>
      </c>
      <c r="D1306">
        <v>1628</v>
      </c>
      <c r="E1306" t="s">
        <v>66</v>
      </c>
      <c r="F1306" t="b">
        <v>0</v>
      </c>
      <c r="G1306" t="b">
        <v>0</v>
      </c>
      <c r="H1306">
        <v>1.7</v>
      </c>
      <c r="I1306">
        <v>4.9189999999999996</v>
      </c>
      <c r="J1306" t="s">
        <v>159</v>
      </c>
      <c r="K1306" t="s">
        <v>159</v>
      </c>
      <c r="L1306" t="s">
        <v>159</v>
      </c>
      <c r="M1306" t="s">
        <v>159</v>
      </c>
      <c r="N1306" t="s">
        <v>159</v>
      </c>
      <c r="O1306" t="s">
        <v>159</v>
      </c>
      <c r="P1306" t="s">
        <v>159</v>
      </c>
      <c r="Q1306" t="s">
        <v>159</v>
      </c>
    </row>
    <row r="1307" spans="1:17">
      <c r="A1307">
        <v>2610.1999999999998</v>
      </c>
      <c r="B1307">
        <v>2532</v>
      </c>
      <c r="C1307">
        <v>1756</v>
      </c>
      <c r="D1307">
        <v>1630</v>
      </c>
      <c r="E1307" t="s">
        <v>66</v>
      </c>
      <c r="F1307" t="b">
        <v>0</v>
      </c>
      <c r="G1307" t="b">
        <v>1</v>
      </c>
      <c r="H1307">
        <v>3.9</v>
      </c>
      <c r="I1307">
        <v>4.9189999999999996</v>
      </c>
      <c r="J1307" t="s">
        <v>159</v>
      </c>
      <c r="K1307" t="s">
        <v>159</v>
      </c>
      <c r="L1307" t="s">
        <v>159</v>
      </c>
      <c r="M1307" t="s">
        <v>159</v>
      </c>
      <c r="N1307" t="s">
        <v>159</v>
      </c>
      <c r="O1307" t="s">
        <v>159</v>
      </c>
      <c r="P1307" t="s">
        <v>159</v>
      </c>
      <c r="Q1307" t="s">
        <v>159</v>
      </c>
    </row>
    <row r="1308" spans="1:17">
      <c r="A1308">
        <v>2612.1999999999998</v>
      </c>
      <c r="B1308">
        <v>2534</v>
      </c>
      <c r="C1308">
        <v>1757</v>
      </c>
      <c r="D1308">
        <v>1631</v>
      </c>
      <c r="E1308" t="s">
        <v>66</v>
      </c>
      <c r="F1308" t="b">
        <v>0</v>
      </c>
      <c r="G1308" t="b">
        <v>0</v>
      </c>
      <c r="H1308">
        <v>2</v>
      </c>
      <c r="I1308">
        <v>4.9189999999999996</v>
      </c>
      <c r="J1308" t="s">
        <v>159</v>
      </c>
      <c r="K1308" t="s">
        <v>159</v>
      </c>
      <c r="L1308" t="s">
        <v>159</v>
      </c>
      <c r="M1308" t="s">
        <v>159</v>
      </c>
      <c r="N1308" t="s">
        <v>159</v>
      </c>
      <c r="O1308" t="s">
        <v>159</v>
      </c>
      <c r="P1308" t="s">
        <v>159</v>
      </c>
      <c r="Q1308" t="s">
        <v>159</v>
      </c>
    </row>
    <row r="1309" spans="1:17">
      <c r="A1309">
        <v>2614.3000000000002</v>
      </c>
      <c r="B1309">
        <v>2536.1</v>
      </c>
      <c r="C1309">
        <v>1759</v>
      </c>
      <c r="D1309">
        <v>1632</v>
      </c>
      <c r="E1309" t="s">
        <v>66</v>
      </c>
      <c r="F1309" t="b">
        <v>0</v>
      </c>
      <c r="G1309" t="b">
        <v>0</v>
      </c>
      <c r="H1309">
        <v>2.1</v>
      </c>
      <c r="I1309">
        <v>4.9189999999999996</v>
      </c>
      <c r="J1309" t="s">
        <v>159</v>
      </c>
      <c r="K1309" t="s">
        <v>159</v>
      </c>
      <c r="L1309" t="s">
        <v>159</v>
      </c>
      <c r="M1309" t="s">
        <v>159</v>
      </c>
      <c r="N1309" t="s">
        <v>159</v>
      </c>
      <c r="O1309" t="s">
        <v>159</v>
      </c>
      <c r="P1309" t="s">
        <v>159</v>
      </c>
      <c r="Q1309" t="s">
        <v>159</v>
      </c>
    </row>
    <row r="1310" spans="1:17">
      <c r="A1310">
        <v>2616.6999999999998</v>
      </c>
      <c r="B1310">
        <v>2538.5</v>
      </c>
      <c r="C1310">
        <v>1760</v>
      </c>
      <c r="D1310">
        <v>1633</v>
      </c>
      <c r="E1310" t="s">
        <v>66</v>
      </c>
      <c r="F1310" t="b">
        <v>0</v>
      </c>
      <c r="G1310" t="b">
        <v>0</v>
      </c>
      <c r="H1310">
        <v>2.4</v>
      </c>
      <c r="I1310" t="s">
        <v>159</v>
      </c>
      <c r="J1310" t="s">
        <v>159</v>
      </c>
      <c r="K1310" t="s">
        <v>159</v>
      </c>
      <c r="L1310" t="s">
        <v>159</v>
      </c>
      <c r="M1310" t="s">
        <v>159</v>
      </c>
      <c r="N1310" t="s">
        <v>159</v>
      </c>
      <c r="O1310" t="s">
        <v>159</v>
      </c>
      <c r="P1310" t="s">
        <v>159</v>
      </c>
      <c r="Q1310" t="s">
        <v>159</v>
      </c>
    </row>
    <row r="1311" spans="1:17">
      <c r="A1311">
        <v>2618.1</v>
      </c>
      <c r="B1311">
        <v>2539.8000000000002</v>
      </c>
      <c r="C1311">
        <v>1761</v>
      </c>
      <c r="D1311">
        <v>1634</v>
      </c>
      <c r="E1311" t="s">
        <v>66</v>
      </c>
      <c r="F1311" t="b">
        <v>0</v>
      </c>
      <c r="G1311" t="b">
        <v>0</v>
      </c>
      <c r="H1311">
        <v>1.4</v>
      </c>
      <c r="I1311" t="s">
        <v>159</v>
      </c>
      <c r="J1311" t="s">
        <v>159</v>
      </c>
      <c r="K1311" t="s">
        <v>159</v>
      </c>
      <c r="L1311" t="s">
        <v>159</v>
      </c>
      <c r="M1311" t="s">
        <v>159</v>
      </c>
      <c r="N1311" t="s">
        <v>159</v>
      </c>
      <c r="O1311" t="s">
        <v>159</v>
      </c>
      <c r="P1311" t="s">
        <v>159</v>
      </c>
      <c r="Q1311" t="s">
        <v>159</v>
      </c>
    </row>
    <row r="1312" spans="1:17">
      <c r="A1312">
        <v>2618.8000000000002</v>
      </c>
      <c r="B1312">
        <v>2540.6</v>
      </c>
      <c r="C1312">
        <v>1762</v>
      </c>
      <c r="D1312">
        <v>1635</v>
      </c>
      <c r="E1312" t="s">
        <v>66</v>
      </c>
      <c r="F1312" t="b">
        <v>0</v>
      </c>
      <c r="G1312" t="b">
        <v>0</v>
      </c>
      <c r="H1312">
        <v>0.8</v>
      </c>
      <c r="I1312" t="s">
        <v>159</v>
      </c>
      <c r="J1312" t="s">
        <v>159</v>
      </c>
      <c r="K1312" t="s">
        <v>159</v>
      </c>
      <c r="L1312" t="s">
        <v>159</v>
      </c>
      <c r="M1312" t="s">
        <v>159</v>
      </c>
      <c r="N1312" t="s">
        <v>159</v>
      </c>
      <c r="O1312" t="s">
        <v>159</v>
      </c>
      <c r="P1312" t="s">
        <v>159</v>
      </c>
      <c r="Q1312" t="s">
        <v>159</v>
      </c>
    </row>
    <row r="1313" spans="1:17">
      <c r="A1313">
        <v>2621.5</v>
      </c>
      <c r="B1313">
        <v>2543.3000000000002</v>
      </c>
      <c r="C1313">
        <v>1764</v>
      </c>
      <c r="D1313">
        <v>1636</v>
      </c>
      <c r="E1313" t="s">
        <v>66</v>
      </c>
      <c r="F1313" t="b">
        <v>0</v>
      </c>
      <c r="G1313" t="b">
        <v>0</v>
      </c>
      <c r="H1313">
        <v>2.7</v>
      </c>
      <c r="I1313">
        <v>4.0670000000000002</v>
      </c>
      <c r="J1313" t="s">
        <v>159</v>
      </c>
      <c r="K1313" t="s">
        <v>159</v>
      </c>
      <c r="L1313" t="s">
        <v>159</v>
      </c>
      <c r="M1313" t="s">
        <v>159</v>
      </c>
      <c r="N1313" t="s">
        <v>159</v>
      </c>
      <c r="O1313" t="s">
        <v>159</v>
      </c>
      <c r="P1313" t="s">
        <v>159</v>
      </c>
      <c r="Q1313" t="s">
        <v>159</v>
      </c>
    </row>
    <row r="1314" spans="1:17">
      <c r="A1314">
        <v>2623.4</v>
      </c>
      <c r="B1314">
        <v>2545.1999999999998</v>
      </c>
      <c r="C1314">
        <v>1765</v>
      </c>
      <c r="D1314">
        <v>1637</v>
      </c>
      <c r="E1314" t="s">
        <v>66</v>
      </c>
      <c r="F1314" t="b">
        <v>0</v>
      </c>
      <c r="G1314" t="b">
        <v>0</v>
      </c>
      <c r="H1314">
        <v>1.9</v>
      </c>
      <c r="I1314">
        <v>4.0670000000000002</v>
      </c>
      <c r="J1314" t="s">
        <v>159</v>
      </c>
      <c r="K1314" t="s">
        <v>159</v>
      </c>
      <c r="L1314" t="s">
        <v>159</v>
      </c>
      <c r="M1314" t="s">
        <v>159</v>
      </c>
      <c r="N1314" t="s">
        <v>159</v>
      </c>
      <c r="O1314" t="s">
        <v>159</v>
      </c>
      <c r="P1314" t="s">
        <v>159</v>
      </c>
      <c r="Q1314" t="s">
        <v>159</v>
      </c>
    </row>
    <row r="1315" spans="1:17">
      <c r="A1315">
        <v>2625.3</v>
      </c>
      <c r="B1315">
        <v>2547</v>
      </c>
      <c r="C1315">
        <v>1766</v>
      </c>
      <c r="D1315">
        <v>1638</v>
      </c>
      <c r="E1315" t="s">
        <v>66</v>
      </c>
      <c r="F1315" t="b">
        <v>0</v>
      </c>
      <c r="G1315" t="b">
        <v>0</v>
      </c>
      <c r="H1315">
        <v>1.9</v>
      </c>
      <c r="I1315">
        <v>4.0670000000000002</v>
      </c>
      <c r="J1315" t="s">
        <v>159</v>
      </c>
      <c r="K1315" t="s">
        <v>159</v>
      </c>
      <c r="L1315" t="s">
        <v>159</v>
      </c>
      <c r="M1315" t="s">
        <v>159</v>
      </c>
      <c r="N1315" t="s">
        <v>159</v>
      </c>
      <c r="O1315" t="s">
        <v>159</v>
      </c>
      <c r="P1315" t="s">
        <v>159</v>
      </c>
      <c r="Q1315" t="s">
        <v>159</v>
      </c>
    </row>
    <row r="1316" spans="1:17">
      <c r="A1316">
        <v>2627.1</v>
      </c>
      <c r="B1316">
        <v>2548.8000000000002</v>
      </c>
      <c r="C1316">
        <v>1768</v>
      </c>
      <c r="D1316">
        <v>1639</v>
      </c>
      <c r="E1316" t="s">
        <v>66</v>
      </c>
      <c r="F1316" t="b">
        <v>0</v>
      </c>
      <c r="G1316" t="b">
        <v>0</v>
      </c>
      <c r="H1316">
        <v>1.8</v>
      </c>
      <c r="I1316">
        <v>4.0670000000000002</v>
      </c>
      <c r="J1316" t="s">
        <v>159</v>
      </c>
      <c r="K1316" t="s">
        <v>159</v>
      </c>
      <c r="L1316" t="s">
        <v>159</v>
      </c>
      <c r="M1316" t="s">
        <v>159</v>
      </c>
      <c r="N1316" t="s">
        <v>159</v>
      </c>
      <c r="O1316" t="s">
        <v>159</v>
      </c>
      <c r="P1316" t="s">
        <v>159</v>
      </c>
      <c r="Q1316" t="s">
        <v>159</v>
      </c>
    </row>
    <row r="1317" spans="1:17">
      <c r="A1317">
        <v>2629.7</v>
      </c>
      <c r="B1317">
        <v>2551.4</v>
      </c>
      <c r="C1317">
        <v>1770</v>
      </c>
      <c r="D1317">
        <v>1640</v>
      </c>
      <c r="E1317" t="s">
        <v>66</v>
      </c>
      <c r="F1317" t="b">
        <v>0</v>
      </c>
      <c r="G1317" t="b">
        <v>0</v>
      </c>
      <c r="H1317">
        <v>2.6</v>
      </c>
      <c r="I1317">
        <v>4.0670000000000002</v>
      </c>
      <c r="J1317" t="s">
        <v>159</v>
      </c>
      <c r="K1317" t="s">
        <v>159</v>
      </c>
      <c r="L1317" t="s">
        <v>159</v>
      </c>
      <c r="M1317" t="s">
        <v>159</v>
      </c>
      <c r="N1317" t="s">
        <v>159</v>
      </c>
      <c r="O1317" t="s">
        <v>159</v>
      </c>
      <c r="P1317" t="s">
        <v>159</v>
      </c>
      <c r="Q1317" t="s">
        <v>159</v>
      </c>
    </row>
    <row r="1318" spans="1:17">
      <c r="A1318">
        <v>2632.8</v>
      </c>
      <c r="B1318">
        <v>2554.6</v>
      </c>
      <c r="C1318">
        <v>1772</v>
      </c>
      <c r="D1318">
        <v>1641</v>
      </c>
      <c r="E1318" t="s">
        <v>66</v>
      </c>
      <c r="F1318" t="b">
        <v>0</v>
      </c>
      <c r="G1318" t="b">
        <v>0</v>
      </c>
      <c r="H1318">
        <v>3.2</v>
      </c>
      <c r="I1318">
        <v>4.0670000000000002</v>
      </c>
      <c r="J1318" t="s">
        <v>159</v>
      </c>
      <c r="K1318" t="s">
        <v>159</v>
      </c>
      <c r="L1318" t="s">
        <v>159</v>
      </c>
      <c r="M1318" t="s">
        <v>159</v>
      </c>
      <c r="N1318" t="s">
        <v>159</v>
      </c>
      <c r="O1318" t="s">
        <v>159</v>
      </c>
      <c r="P1318" t="s">
        <v>159</v>
      </c>
      <c r="Q1318" t="s">
        <v>159</v>
      </c>
    </row>
    <row r="1319" spans="1:17">
      <c r="A1319">
        <v>2634</v>
      </c>
      <c r="B1319">
        <v>2555.8000000000002</v>
      </c>
      <c r="C1319">
        <v>1773</v>
      </c>
      <c r="D1319">
        <v>1642</v>
      </c>
      <c r="E1319" t="s">
        <v>66</v>
      </c>
      <c r="F1319" t="b">
        <v>0</v>
      </c>
      <c r="G1319" t="b">
        <v>0</v>
      </c>
      <c r="H1319">
        <v>1.2</v>
      </c>
      <c r="I1319">
        <v>4.0670000000000002</v>
      </c>
      <c r="J1319" t="s">
        <v>159</v>
      </c>
      <c r="K1319" t="s">
        <v>159</v>
      </c>
      <c r="L1319" t="s">
        <v>159</v>
      </c>
      <c r="M1319" t="s">
        <v>159</v>
      </c>
      <c r="N1319" t="s">
        <v>159</v>
      </c>
      <c r="O1319" t="s">
        <v>159</v>
      </c>
      <c r="P1319" t="s">
        <v>159</v>
      </c>
      <c r="Q1319" t="s">
        <v>159</v>
      </c>
    </row>
    <row r="1320" spans="1:17">
      <c r="A1320">
        <v>2635.2</v>
      </c>
      <c r="B1320">
        <v>2556.9</v>
      </c>
      <c r="C1320">
        <v>1774</v>
      </c>
      <c r="D1320">
        <v>1643</v>
      </c>
      <c r="E1320" t="s">
        <v>66</v>
      </c>
      <c r="F1320" t="b">
        <v>0</v>
      </c>
      <c r="G1320" t="b">
        <v>0</v>
      </c>
      <c r="H1320">
        <v>1.1000000000000001</v>
      </c>
      <c r="I1320">
        <v>4.0670000000000002</v>
      </c>
      <c r="J1320" t="s">
        <v>159</v>
      </c>
      <c r="K1320" t="s">
        <v>159</v>
      </c>
      <c r="L1320" t="s">
        <v>159</v>
      </c>
      <c r="M1320" t="s">
        <v>159</v>
      </c>
      <c r="N1320" t="s">
        <v>159</v>
      </c>
      <c r="O1320" t="s">
        <v>159</v>
      </c>
      <c r="P1320" t="s">
        <v>159</v>
      </c>
      <c r="Q1320" t="s">
        <v>159</v>
      </c>
    </row>
    <row r="1321" spans="1:17">
      <c r="A1321">
        <v>2636.4</v>
      </c>
      <c r="B1321">
        <v>2558.1</v>
      </c>
      <c r="C1321">
        <v>1774</v>
      </c>
      <c r="D1321">
        <v>1644</v>
      </c>
      <c r="E1321" t="s">
        <v>66</v>
      </c>
      <c r="F1321" t="b">
        <v>0</v>
      </c>
      <c r="G1321" t="b">
        <v>0</v>
      </c>
      <c r="H1321">
        <v>1.2</v>
      </c>
      <c r="I1321">
        <v>4.0670000000000002</v>
      </c>
      <c r="J1321" t="s">
        <v>159</v>
      </c>
      <c r="K1321" t="s">
        <v>159</v>
      </c>
      <c r="L1321" t="s">
        <v>159</v>
      </c>
      <c r="M1321" t="s">
        <v>159</v>
      </c>
      <c r="N1321" t="s">
        <v>159</v>
      </c>
      <c r="O1321" t="s">
        <v>159</v>
      </c>
      <c r="P1321" t="s">
        <v>159</v>
      </c>
      <c r="Q1321" t="s">
        <v>159</v>
      </c>
    </row>
    <row r="1322" spans="1:17">
      <c r="A1322">
        <v>2637.1</v>
      </c>
      <c r="B1322">
        <v>2558.8000000000002</v>
      </c>
      <c r="C1322">
        <v>1775</v>
      </c>
      <c r="D1322">
        <v>1645</v>
      </c>
      <c r="E1322" t="s">
        <v>66</v>
      </c>
      <c r="F1322" t="b">
        <v>0</v>
      </c>
      <c r="G1322" t="b">
        <v>0</v>
      </c>
      <c r="H1322">
        <v>0.7</v>
      </c>
      <c r="I1322">
        <v>4.0670000000000002</v>
      </c>
      <c r="J1322" t="s">
        <v>159</v>
      </c>
      <c r="K1322" t="s">
        <v>159</v>
      </c>
      <c r="L1322" t="s">
        <v>159</v>
      </c>
      <c r="M1322" t="s">
        <v>159</v>
      </c>
      <c r="N1322" t="s">
        <v>159</v>
      </c>
      <c r="O1322" t="s">
        <v>159</v>
      </c>
      <c r="P1322" t="s">
        <v>159</v>
      </c>
      <c r="Q1322" t="s">
        <v>159</v>
      </c>
    </row>
    <row r="1323" spans="1:17">
      <c r="A1323">
        <v>2637.7</v>
      </c>
      <c r="B1323">
        <v>2559.5</v>
      </c>
      <c r="C1323">
        <v>1775</v>
      </c>
      <c r="D1323">
        <v>1646</v>
      </c>
      <c r="E1323" t="s">
        <v>66</v>
      </c>
      <c r="F1323" t="b">
        <v>0</v>
      </c>
      <c r="G1323" t="b">
        <v>0</v>
      </c>
      <c r="H1323">
        <v>0.7</v>
      </c>
      <c r="I1323">
        <v>4.0670000000000002</v>
      </c>
      <c r="J1323" t="s">
        <v>159</v>
      </c>
      <c r="K1323" t="s">
        <v>159</v>
      </c>
      <c r="L1323" t="s">
        <v>159</v>
      </c>
      <c r="M1323" t="s">
        <v>159</v>
      </c>
      <c r="N1323" t="s">
        <v>159</v>
      </c>
      <c r="O1323" t="s">
        <v>159</v>
      </c>
      <c r="P1323" t="s">
        <v>159</v>
      </c>
      <c r="Q1323" t="s">
        <v>159</v>
      </c>
    </row>
    <row r="1324" spans="1:17">
      <c r="A1324">
        <v>2639.4</v>
      </c>
      <c r="B1324">
        <v>2561.1999999999998</v>
      </c>
      <c r="C1324">
        <v>1777</v>
      </c>
      <c r="D1324">
        <v>1647</v>
      </c>
      <c r="E1324" t="s">
        <v>66</v>
      </c>
      <c r="F1324" t="b">
        <v>0</v>
      </c>
      <c r="G1324" t="b">
        <v>0</v>
      </c>
      <c r="H1324">
        <v>1.7</v>
      </c>
      <c r="I1324">
        <v>4.0670000000000002</v>
      </c>
      <c r="J1324" t="s">
        <v>159</v>
      </c>
      <c r="K1324" t="s">
        <v>159</v>
      </c>
      <c r="L1324" t="s">
        <v>159</v>
      </c>
      <c r="M1324" t="s">
        <v>159</v>
      </c>
      <c r="N1324" t="s">
        <v>159</v>
      </c>
      <c r="O1324" t="s">
        <v>159</v>
      </c>
      <c r="P1324" t="s">
        <v>159</v>
      </c>
      <c r="Q1324" t="s">
        <v>159</v>
      </c>
    </row>
    <row r="1325" spans="1:17">
      <c r="A1325">
        <v>2642</v>
      </c>
      <c r="B1325">
        <v>2563.6999999999998</v>
      </c>
      <c r="C1325">
        <v>1779</v>
      </c>
      <c r="D1325">
        <v>1648</v>
      </c>
      <c r="E1325" t="s">
        <v>66</v>
      </c>
      <c r="F1325" t="b">
        <v>0</v>
      </c>
      <c r="G1325" t="b">
        <v>0</v>
      </c>
      <c r="H1325">
        <v>2.6</v>
      </c>
      <c r="I1325" t="s">
        <v>159</v>
      </c>
      <c r="J1325" t="s">
        <v>159</v>
      </c>
      <c r="K1325" t="s">
        <v>159</v>
      </c>
      <c r="L1325" t="s">
        <v>159</v>
      </c>
      <c r="M1325" t="s">
        <v>159</v>
      </c>
      <c r="N1325" t="s">
        <v>159</v>
      </c>
      <c r="O1325" t="s">
        <v>159</v>
      </c>
      <c r="P1325" t="s">
        <v>159</v>
      </c>
      <c r="Q1325" t="s">
        <v>159</v>
      </c>
    </row>
    <row r="1326" spans="1:17">
      <c r="A1326">
        <v>2643.9</v>
      </c>
      <c r="B1326">
        <v>2565.6</v>
      </c>
      <c r="C1326">
        <v>1780</v>
      </c>
      <c r="D1326">
        <v>1649</v>
      </c>
      <c r="E1326" t="s">
        <v>66</v>
      </c>
      <c r="F1326" t="b">
        <v>0</v>
      </c>
      <c r="G1326" t="b">
        <v>0</v>
      </c>
      <c r="H1326">
        <v>1.9</v>
      </c>
      <c r="I1326" t="s">
        <v>159</v>
      </c>
      <c r="J1326" t="s">
        <v>159</v>
      </c>
      <c r="K1326" t="s">
        <v>159</v>
      </c>
      <c r="L1326" t="s">
        <v>159</v>
      </c>
      <c r="M1326" t="s">
        <v>159</v>
      </c>
      <c r="N1326" t="s">
        <v>159</v>
      </c>
      <c r="O1326" t="s">
        <v>159</v>
      </c>
      <c r="P1326" t="s">
        <v>159</v>
      </c>
      <c r="Q1326" t="s">
        <v>159</v>
      </c>
    </row>
    <row r="1327" spans="1:17">
      <c r="A1327">
        <v>2646.3</v>
      </c>
      <c r="B1327">
        <v>2568</v>
      </c>
      <c r="C1327">
        <v>1782</v>
      </c>
      <c r="D1327">
        <v>1650</v>
      </c>
      <c r="E1327" t="s">
        <v>66</v>
      </c>
      <c r="F1327" t="b">
        <v>0</v>
      </c>
      <c r="G1327" t="b">
        <v>0</v>
      </c>
      <c r="H1327">
        <v>2.4</v>
      </c>
      <c r="I1327">
        <v>4.9429999999999996</v>
      </c>
      <c r="J1327" t="s">
        <v>159</v>
      </c>
      <c r="K1327" t="s">
        <v>159</v>
      </c>
      <c r="L1327" t="s">
        <v>159</v>
      </c>
      <c r="M1327" t="s">
        <v>159</v>
      </c>
      <c r="N1327" t="s">
        <v>159</v>
      </c>
      <c r="O1327" t="s">
        <v>159</v>
      </c>
      <c r="P1327" t="s">
        <v>159</v>
      </c>
      <c r="Q1327" t="s">
        <v>159</v>
      </c>
    </row>
    <row r="1328" spans="1:17">
      <c r="A1328">
        <v>2648.9</v>
      </c>
      <c r="B1328">
        <v>2570.6999999999998</v>
      </c>
      <c r="C1328">
        <v>1784</v>
      </c>
      <c r="D1328">
        <v>1651</v>
      </c>
      <c r="E1328" t="s">
        <v>66</v>
      </c>
      <c r="F1328" t="b">
        <v>0</v>
      </c>
      <c r="G1328" t="b">
        <v>0</v>
      </c>
      <c r="H1328">
        <v>2.7</v>
      </c>
      <c r="I1328">
        <v>4.9429999999999996</v>
      </c>
      <c r="J1328" t="s">
        <v>159</v>
      </c>
      <c r="K1328" t="s">
        <v>159</v>
      </c>
      <c r="L1328" t="s">
        <v>159</v>
      </c>
      <c r="M1328" t="s">
        <v>159</v>
      </c>
      <c r="N1328" t="s">
        <v>159</v>
      </c>
      <c r="O1328" t="s">
        <v>159</v>
      </c>
      <c r="P1328" t="s">
        <v>159</v>
      </c>
      <c r="Q1328" t="s">
        <v>159</v>
      </c>
    </row>
    <row r="1329" spans="1:17">
      <c r="A1329">
        <v>2651.9</v>
      </c>
      <c r="B1329">
        <v>2573.6999999999998</v>
      </c>
      <c r="C1329">
        <v>1786</v>
      </c>
      <c r="D1329">
        <v>1652</v>
      </c>
      <c r="E1329" t="s">
        <v>66</v>
      </c>
      <c r="F1329" t="b">
        <v>0</v>
      </c>
      <c r="G1329" t="b">
        <v>0</v>
      </c>
      <c r="H1329">
        <v>3</v>
      </c>
      <c r="I1329">
        <v>4.9429999999999996</v>
      </c>
      <c r="J1329" t="s">
        <v>159</v>
      </c>
      <c r="K1329" t="s">
        <v>159</v>
      </c>
      <c r="L1329" t="s">
        <v>159</v>
      </c>
      <c r="M1329" t="s">
        <v>159</v>
      </c>
      <c r="N1329" t="s">
        <v>159</v>
      </c>
      <c r="O1329" t="s">
        <v>159</v>
      </c>
      <c r="P1329" t="s">
        <v>159</v>
      </c>
      <c r="Q1329" t="s">
        <v>159</v>
      </c>
    </row>
    <row r="1330" spans="1:17">
      <c r="A1330">
        <v>2654.5</v>
      </c>
      <c r="B1330">
        <v>2576.3000000000002</v>
      </c>
      <c r="C1330">
        <v>1788</v>
      </c>
      <c r="D1330">
        <v>1653</v>
      </c>
      <c r="E1330" t="s">
        <v>66</v>
      </c>
      <c r="F1330" t="b">
        <v>0</v>
      </c>
      <c r="G1330" t="b">
        <v>0</v>
      </c>
      <c r="H1330">
        <v>2.6</v>
      </c>
      <c r="I1330">
        <v>4.9429999999999996</v>
      </c>
      <c r="J1330" t="s">
        <v>159</v>
      </c>
      <c r="K1330" t="s">
        <v>159</v>
      </c>
      <c r="L1330" t="s">
        <v>159</v>
      </c>
      <c r="M1330" t="s">
        <v>159</v>
      </c>
      <c r="N1330" t="s">
        <v>159</v>
      </c>
      <c r="O1330" t="s">
        <v>159</v>
      </c>
      <c r="P1330" t="s">
        <v>159</v>
      </c>
      <c r="Q1330" t="s">
        <v>159</v>
      </c>
    </row>
    <row r="1331" spans="1:17">
      <c r="A1331">
        <v>2656.5</v>
      </c>
      <c r="B1331">
        <v>2578.3000000000002</v>
      </c>
      <c r="C1331">
        <v>1789</v>
      </c>
      <c r="D1331">
        <v>1654</v>
      </c>
      <c r="E1331" t="s">
        <v>66</v>
      </c>
      <c r="F1331" t="b">
        <v>0</v>
      </c>
      <c r="G1331" t="b">
        <v>0</v>
      </c>
      <c r="H1331">
        <v>2</v>
      </c>
      <c r="I1331">
        <v>4.9429999999999996</v>
      </c>
      <c r="J1331">
        <v>0.86499999999999999</v>
      </c>
      <c r="K1331">
        <v>3.3</v>
      </c>
      <c r="L1331">
        <v>6.76</v>
      </c>
      <c r="M1331">
        <v>12.8</v>
      </c>
      <c r="N1331">
        <v>21.2</v>
      </c>
      <c r="O1331">
        <v>16.39</v>
      </c>
      <c r="P1331">
        <v>83.25</v>
      </c>
      <c r="Q1331">
        <v>0.36</v>
      </c>
    </row>
    <row r="1332" spans="1:17">
      <c r="A1332">
        <v>2658.6</v>
      </c>
      <c r="B1332">
        <v>2580.3000000000002</v>
      </c>
      <c r="C1332">
        <v>1790</v>
      </c>
      <c r="D1332">
        <v>1655</v>
      </c>
      <c r="E1332" t="s">
        <v>66</v>
      </c>
      <c r="F1332" t="b">
        <v>0</v>
      </c>
      <c r="G1332" t="b">
        <v>0</v>
      </c>
      <c r="H1332">
        <v>2.1</v>
      </c>
      <c r="I1332">
        <v>4.9429999999999996</v>
      </c>
      <c r="J1332">
        <v>0.86499999999999999</v>
      </c>
      <c r="K1332">
        <v>3.3</v>
      </c>
      <c r="L1332">
        <v>6.76</v>
      </c>
      <c r="M1332">
        <v>12.8</v>
      </c>
      <c r="N1332">
        <v>21.2</v>
      </c>
      <c r="O1332">
        <v>16.39</v>
      </c>
      <c r="P1332">
        <v>83.25</v>
      </c>
      <c r="Q1332">
        <v>0.36</v>
      </c>
    </row>
    <row r="1333" spans="1:17">
      <c r="A1333">
        <v>2660.4</v>
      </c>
      <c r="B1333">
        <v>2582.1</v>
      </c>
      <c r="C1333">
        <v>1792</v>
      </c>
      <c r="D1333">
        <v>1656</v>
      </c>
      <c r="E1333" t="s">
        <v>66</v>
      </c>
      <c r="F1333" t="b">
        <v>0</v>
      </c>
      <c r="G1333" t="b">
        <v>0</v>
      </c>
      <c r="H1333">
        <v>1.8</v>
      </c>
      <c r="I1333">
        <v>4.9429999999999996</v>
      </c>
      <c r="J1333">
        <v>0.86499999999999999</v>
      </c>
      <c r="K1333">
        <v>3.3</v>
      </c>
      <c r="L1333">
        <v>6.76</v>
      </c>
      <c r="M1333">
        <v>12.8</v>
      </c>
      <c r="N1333">
        <v>21.2</v>
      </c>
      <c r="O1333">
        <v>16.39</v>
      </c>
      <c r="P1333">
        <v>83.25</v>
      </c>
      <c r="Q1333">
        <v>0.36</v>
      </c>
    </row>
    <row r="1334" spans="1:17">
      <c r="A1334">
        <v>2662.6</v>
      </c>
      <c r="B1334">
        <v>2584.4</v>
      </c>
      <c r="C1334">
        <v>1793</v>
      </c>
      <c r="D1334">
        <v>1657</v>
      </c>
      <c r="E1334" t="s">
        <v>66</v>
      </c>
      <c r="F1334" t="b">
        <v>0</v>
      </c>
      <c r="G1334" t="b">
        <v>0</v>
      </c>
      <c r="H1334">
        <v>2.2999999999999998</v>
      </c>
      <c r="I1334">
        <v>4.9429999999999996</v>
      </c>
      <c r="J1334">
        <v>0.86499999999999999</v>
      </c>
      <c r="K1334">
        <v>3.3</v>
      </c>
      <c r="L1334">
        <v>6.76</v>
      </c>
      <c r="M1334">
        <v>12.8</v>
      </c>
      <c r="N1334">
        <v>21.2</v>
      </c>
      <c r="O1334">
        <v>16.39</v>
      </c>
      <c r="P1334">
        <v>83.25</v>
      </c>
      <c r="Q1334">
        <v>0.36</v>
      </c>
    </row>
    <row r="1335" spans="1:17">
      <c r="A1335">
        <v>2663.9</v>
      </c>
      <c r="B1335">
        <v>2585.6999999999998</v>
      </c>
      <c r="C1335">
        <v>1794</v>
      </c>
      <c r="D1335">
        <v>1658</v>
      </c>
      <c r="E1335" t="s">
        <v>66</v>
      </c>
      <c r="F1335" t="b">
        <v>0</v>
      </c>
      <c r="G1335" t="b">
        <v>0</v>
      </c>
      <c r="H1335">
        <v>1.2</v>
      </c>
      <c r="I1335">
        <v>4.9429999999999996</v>
      </c>
      <c r="J1335">
        <v>0.86499999999999999</v>
      </c>
      <c r="K1335">
        <v>3.3</v>
      </c>
      <c r="L1335">
        <v>6.76</v>
      </c>
      <c r="M1335">
        <v>12.8</v>
      </c>
      <c r="N1335">
        <v>21.2</v>
      </c>
      <c r="O1335">
        <v>16.39</v>
      </c>
      <c r="P1335">
        <v>83.25</v>
      </c>
      <c r="Q1335">
        <v>0.36</v>
      </c>
    </row>
    <row r="1336" spans="1:17">
      <c r="A1336">
        <v>2665.1</v>
      </c>
      <c r="B1336">
        <v>2586.9</v>
      </c>
      <c r="C1336">
        <v>1795</v>
      </c>
      <c r="D1336">
        <v>1659</v>
      </c>
      <c r="E1336" t="s">
        <v>66</v>
      </c>
      <c r="F1336" t="b">
        <v>0</v>
      </c>
      <c r="G1336" t="b">
        <v>0</v>
      </c>
      <c r="H1336">
        <v>1.3</v>
      </c>
      <c r="I1336">
        <v>4.9429999999999996</v>
      </c>
      <c r="J1336">
        <v>0.86499999999999999</v>
      </c>
      <c r="K1336">
        <v>3.3</v>
      </c>
      <c r="L1336">
        <v>6.76</v>
      </c>
      <c r="M1336">
        <v>12.8</v>
      </c>
      <c r="N1336">
        <v>21.2</v>
      </c>
      <c r="O1336">
        <v>16.39</v>
      </c>
      <c r="P1336">
        <v>83.25</v>
      </c>
      <c r="Q1336">
        <v>0.36</v>
      </c>
    </row>
    <row r="1337" spans="1:17">
      <c r="A1337">
        <v>2666.6</v>
      </c>
      <c r="B1337">
        <v>2588.4</v>
      </c>
      <c r="C1337">
        <v>1796</v>
      </c>
      <c r="D1337">
        <v>1660</v>
      </c>
      <c r="E1337" t="s">
        <v>66</v>
      </c>
      <c r="F1337" t="b">
        <v>0</v>
      </c>
      <c r="G1337" t="b">
        <v>0</v>
      </c>
      <c r="H1337">
        <v>1.5</v>
      </c>
      <c r="I1337" t="s">
        <v>159</v>
      </c>
      <c r="J1337">
        <v>0.86499999999999999</v>
      </c>
      <c r="K1337">
        <v>3.3</v>
      </c>
      <c r="L1337">
        <v>6.76</v>
      </c>
      <c r="M1337">
        <v>12.8</v>
      </c>
      <c r="N1337">
        <v>21.2</v>
      </c>
      <c r="O1337">
        <v>16.39</v>
      </c>
      <c r="P1337">
        <v>83.25</v>
      </c>
      <c r="Q1337">
        <v>0.36</v>
      </c>
    </row>
    <row r="1338" spans="1:17">
      <c r="A1338">
        <v>2668.8</v>
      </c>
      <c r="B1338">
        <v>2590.6</v>
      </c>
      <c r="C1338">
        <v>1798</v>
      </c>
      <c r="D1338">
        <v>1661</v>
      </c>
      <c r="E1338" t="s">
        <v>66</v>
      </c>
      <c r="F1338" t="b">
        <v>0</v>
      </c>
      <c r="G1338" t="b">
        <v>0</v>
      </c>
      <c r="H1338">
        <v>2.2000000000000002</v>
      </c>
      <c r="I1338" t="s">
        <v>159</v>
      </c>
      <c r="J1338">
        <v>0.86499999999999999</v>
      </c>
      <c r="K1338">
        <v>3.3</v>
      </c>
      <c r="L1338">
        <v>6.76</v>
      </c>
      <c r="M1338">
        <v>12.8</v>
      </c>
      <c r="N1338">
        <v>21.2</v>
      </c>
      <c r="O1338">
        <v>16.39</v>
      </c>
      <c r="P1338">
        <v>83.25</v>
      </c>
      <c r="Q1338">
        <v>0.36</v>
      </c>
    </row>
    <row r="1339" spans="1:17">
      <c r="A1339">
        <v>2670.9</v>
      </c>
      <c r="B1339">
        <v>2592.6999999999998</v>
      </c>
      <c r="C1339">
        <v>1799</v>
      </c>
      <c r="D1339">
        <v>1662</v>
      </c>
      <c r="E1339" t="s">
        <v>66</v>
      </c>
      <c r="F1339" t="b">
        <v>0</v>
      </c>
      <c r="G1339" t="b">
        <v>0</v>
      </c>
      <c r="H1339">
        <v>2.1</v>
      </c>
      <c r="I1339">
        <v>4.4779999999999998</v>
      </c>
      <c r="J1339">
        <v>0.86499999999999999</v>
      </c>
      <c r="K1339">
        <v>3.3</v>
      </c>
      <c r="L1339">
        <v>6.76</v>
      </c>
      <c r="M1339">
        <v>12.8</v>
      </c>
      <c r="N1339">
        <v>21.2</v>
      </c>
      <c r="O1339">
        <v>16.39</v>
      </c>
      <c r="P1339">
        <v>83.25</v>
      </c>
      <c r="Q1339">
        <v>0.36</v>
      </c>
    </row>
    <row r="1340" spans="1:17">
      <c r="A1340">
        <v>2672.3</v>
      </c>
      <c r="B1340">
        <v>2594.1</v>
      </c>
      <c r="C1340">
        <v>1800</v>
      </c>
      <c r="D1340">
        <v>1663</v>
      </c>
      <c r="E1340" t="s">
        <v>66</v>
      </c>
      <c r="F1340" t="b">
        <v>0</v>
      </c>
      <c r="G1340" t="b">
        <v>0</v>
      </c>
      <c r="H1340">
        <v>1.4</v>
      </c>
      <c r="I1340">
        <v>4.4779999999999998</v>
      </c>
      <c r="J1340">
        <v>0.86499999999999999</v>
      </c>
      <c r="K1340">
        <v>3.3</v>
      </c>
      <c r="L1340">
        <v>6.76</v>
      </c>
      <c r="M1340">
        <v>12.8</v>
      </c>
      <c r="N1340">
        <v>21.2</v>
      </c>
      <c r="O1340">
        <v>16.39</v>
      </c>
      <c r="P1340">
        <v>83.25</v>
      </c>
      <c r="Q1340">
        <v>0.36</v>
      </c>
    </row>
    <row r="1341" spans="1:17">
      <c r="A1341">
        <v>2675.4</v>
      </c>
      <c r="B1341">
        <v>2597.1</v>
      </c>
      <c r="C1341">
        <v>1803</v>
      </c>
      <c r="D1341">
        <v>1664</v>
      </c>
      <c r="E1341" t="s">
        <v>66</v>
      </c>
      <c r="F1341" t="b">
        <v>0</v>
      </c>
      <c r="G1341" t="b">
        <v>0</v>
      </c>
      <c r="H1341">
        <v>3.1</v>
      </c>
      <c r="I1341">
        <v>4.4779999999999998</v>
      </c>
      <c r="J1341">
        <v>0.86499999999999999</v>
      </c>
      <c r="K1341">
        <v>3.3</v>
      </c>
      <c r="L1341">
        <v>6.76</v>
      </c>
      <c r="M1341">
        <v>12.8</v>
      </c>
      <c r="N1341">
        <v>21.2</v>
      </c>
      <c r="O1341">
        <v>16.39</v>
      </c>
      <c r="P1341">
        <v>83.25</v>
      </c>
      <c r="Q1341">
        <v>0.36</v>
      </c>
    </row>
    <row r="1342" spans="1:17">
      <c r="A1342">
        <v>2677.7</v>
      </c>
      <c r="B1342">
        <v>2599.5</v>
      </c>
      <c r="C1342">
        <v>1804</v>
      </c>
      <c r="D1342">
        <v>1665</v>
      </c>
      <c r="E1342" t="s">
        <v>66</v>
      </c>
      <c r="F1342" t="b">
        <v>0</v>
      </c>
      <c r="G1342" t="b">
        <v>0</v>
      </c>
      <c r="H1342">
        <v>2.2999999999999998</v>
      </c>
      <c r="I1342">
        <v>4.4779999999999998</v>
      </c>
      <c r="J1342" t="s">
        <v>159</v>
      </c>
      <c r="K1342" t="s">
        <v>159</v>
      </c>
      <c r="L1342" t="s">
        <v>159</v>
      </c>
      <c r="M1342" t="s">
        <v>159</v>
      </c>
      <c r="N1342" t="s">
        <v>159</v>
      </c>
      <c r="O1342" t="s">
        <v>159</v>
      </c>
      <c r="P1342" t="s">
        <v>159</v>
      </c>
      <c r="Q1342" t="s">
        <v>159</v>
      </c>
    </row>
    <row r="1343" spans="1:17">
      <c r="A1343">
        <v>2680.1</v>
      </c>
      <c r="B1343">
        <v>2601.9</v>
      </c>
      <c r="C1343">
        <v>1806</v>
      </c>
      <c r="D1343">
        <v>1666</v>
      </c>
      <c r="E1343" t="s">
        <v>66</v>
      </c>
      <c r="F1343" t="b">
        <v>0</v>
      </c>
      <c r="G1343" t="b">
        <v>0</v>
      </c>
      <c r="H1343">
        <v>2.4</v>
      </c>
      <c r="I1343">
        <v>4.4779999999999998</v>
      </c>
      <c r="J1343" t="s">
        <v>159</v>
      </c>
      <c r="K1343" t="s">
        <v>159</v>
      </c>
      <c r="L1343" t="s">
        <v>159</v>
      </c>
      <c r="M1343" t="s">
        <v>159</v>
      </c>
      <c r="N1343" t="s">
        <v>159</v>
      </c>
      <c r="O1343" t="s">
        <v>159</v>
      </c>
      <c r="P1343" t="s">
        <v>159</v>
      </c>
      <c r="Q1343" t="s">
        <v>159</v>
      </c>
    </row>
    <row r="1344" spans="1:17">
      <c r="A1344">
        <v>2681.4</v>
      </c>
      <c r="B1344">
        <v>2603.1999999999998</v>
      </c>
      <c r="C1344">
        <v>1807</v>
      </c>
      <c r="D1344">
        <v>1667</v>
      </c>
      <c r="E1344" t="s">
        <v>66</v>
      </c>
      <c r="F1344" t="b">
        <v>0</v>
      </c>
      <c r="G1344" t="b">
        <v>0</v>
      </c>
      <c r="H1344">
        <v>1.3</v>
      </c>
      <c r="I1344">
        <v>4.4779999999999998</v>
      </c>
      <c r="J1344" t="s">
        <v>159</v>
      </c>
      <c r="K1344" t="s">
        <v>159</v>
      </c>
      <c r="L1344" t="s">
        <v>159</v>
      </c>
      <c r="M1344" t="s">
        <v>159</v>
      </c>
      <c r="N1344" t="s">
        <v>159</v>
      </c>
      <c r="O1344" t="s">
        <v>159</v>
      </c>
      <c r="P1344" t="s">
        <v>159</v>
      </c>
      <c r="Q1344" t="s">
        <v>159</v>
      </c>
    </row>
    <row r="1345" spans="1:17">
      <c r="A1345">
        <v>2683.3</v>
      </c>
      <c r="B1345">
        <v>2605.1</v>
      </c>
      <c r="C1345">
        <v>1808</v>
      </c>
      <c r="D1345">
        <v>1668</v>
      </c>
      <c r="E1345" t="s">
        <v>66</v>
      </c>
      <c r="F1345" t="b">
        <v>0</v>
      </c>
      <c r="G1345" t="b">
        <v>0</v>
      </c>
      <c r="H1345">
        <v>1.9</v>
      </c>
      <c r="I1345">
        <v>4.4779999999999998</v>
      </c>
      <c r="J1345" t="s">
        <v>159</v>
      </c>
      <c r="K1345" t="s">
        <v>159</v>
      </c>
      <c r="L1345" t="s">
        <v>159</v>
      </c>
      <c r="M1345" t="s">
        <v>159</v>
      </c>
      <c r="N1345" t="s">
        <v>159</v>
      </c>
      <c r="O1345" t="s">
        <v>159</v>
      </c>
      <c r="P1345" t="s">
        <v>159</v>
      </c>
      <c r="Q1345" t="s">
        <v>159</v>
      </c>
    </row>
    <row r="1346" spans="1:17">
      <c r="A1346">
        <v>2685.4</v>
      </c>
      <c r="B1346">
        <v>2607.1999999999998</v>
      </c>
      <c r="C1346">
        <v>1810</v>
      </c>
      <c r="D1346">
        <v>1669</v>
      </c>
      <c r="E1346" t="s">
        <v>66</v>
      </c>
      <c r="F1346" t="b">
        <v>0</v>
      </c>
      <c r="G1346" t="b">
        <v>0</v>
      </c>
      <c r="H1346">
        <v>2.1</v>
      </c>
      <c r="I1346">
        <v>4.4779999999999998</v>
      </c>
      <c r="J1346" t="s">
        <v>159</v>
      </c>
      <c r="K1346" t="s">
        <v>159</v>
      </c>
      <c r="L1346" t="s">
        <v>159</v>
      </c>
      <c r="M1346" t="s">
        <v>159</v>
      </c>
      <c r="N1346" t="s">
        <v>159</v>
      </c>
      <c r="O1346" t="s">
        <v>159</v>
      </c>
      <c r="P1346" t="s">
        <v>159</v>
      </c>
      <c r="Q1346" t="s">
        <v>159</v>
      </c>
    </row>
    <row r="1347" spans="1:17">
      <c r="A1347">
        <v>2687.5</v>
      </c>
      <c r="B1347">
        <v>2609.1999999999998</v>
      </c>
      <c r="C1347">
        <v>1811</v>
      </c>
      <c r="D1347">
        <v>1670</v>
      </c>
      <c r="E1347" t="s">
        <v>66</v>
      </c>
      <c r="F1347" t="b">
        <v>0</v>
      </c>
      <c r="G1347" t="b">
        <v>0</v>
      </c>
      <c r="H1347">
        <v>2</v>
      </c>
      <c r="I1347">
        <v>4.4779999999999998</v>
      </c>
      <c r="J1347" t="s">
        <v>159</v>
      </c>
      <c r="K1347" t="s">
        <v>159</v>
      </c>
      <c r="L1347" t="s">
        <v>159</v>
      </c>
      <c r="M1347" t="s">
        <v>159</v>
      </c>
      <c r="N1347" t="s">
        <v>159</v>
      </c>
      <c r="O1347" t="s">
        <v>159</v>
      </c>
      <c r="P1347" t="s">
        <v>159</v>
      </c>
      <c r="Q1347" t="s">
        <v>159</v>
      </c>
    </row>
    <row r="1348" spans="1:17">
      <c r="A1348">
        <v>2689.3</v>
      </c>
      <c r="B1348">
        <v>2611</v>
      </c>
      <c r="C1348">
        <v>1813</v>
      </c>
      <c r="D1348">
        <v>1671</v>
      </c>
      <c r="E1348" t="s">
        <v>66</v>
      </c>
      <c r="F1348" t="b">
        <v>0</v>
      </c>
      <c r="G1348" t="b">
        <v>0</v>
      </c>
      <c r="H1348">
        <v>1.8</v>
      </c>
      <c r="I1348">
        <v>4.4779999999999998</v>
      </c>
      <c r="J1348" t="s">
        <v>159</v>
      </c>
      <c r="K1348" t="s">
        <v>159</v>
      </c>
      <c r="L1348" t="s">
        <v>159</v>
      </c>
      <c r="M1348" t="s">
        <v>159</v>
      </c>
      <c r="N1348" t="s">
        <v>159</v>
      </c>
      <c r="O1348" t="s">
        <v>159</v>
      </c>
      <c r="P1348" t="s">
        <v>159</v>
      </c>
      <c r="Q1348" t="s">
        <v>159</v>
      </c>
    </row>
    <row r="1349" spans="1:17">
      <c r="A1349">
        <v>2691.1</v>
      </c>
      <c r="B1349">
        <v>2612.8000000000002</v>
      </c>
      <c r="C1349">
        <v>1814</v>
      </c>
      <c r="D1349">
        <v>1672</v>
      </c>
      <c r="E1349" t="s">
        <v>66</v>
      </c>
      <c r="F1349" t="b">
        <v>0</v>
      </c>
      <c r="G1349" t="b">
        <v>0</v>
      </c>
      <c r="H1349">
        <v>1.8</v>
      </c>
      <c r="I1349" t="s">
        <v>159</v>
      </c>
      <c r="J1349" t="s">
        <v>159</v>
      </c>
      <c r="K1349" t="s">
        <v>159</v>
      </c>
      <c r="L1349" t="s">
        <v>159</v>
      </c>
      <c r="M1349" t="s">
        <v>159</v>
      </c>
      <c r="N1349" t="s">
        <v>159</v>
      </c>
      <c r="O1349" t="s">
        <v>159</v>
      </c>
      <c r="P1349" t="s">
        <v>159</v>
      </c>
      <c r="Q1349" t="s">
        <v>159</v>
      </c>
    </row>
    <row r="1350" spans="1:17">
      <c r="A1350">
        <v>2692.2</v>
      </c>
      <c r="B1350">
        <v>2614</v>
      </c>
      <c r="C1350">
        <v>1815</v>
      </c>
      <c r="D1350">
        <v>1673</v>
      </c>
      <c r="E1350" t="s">
        <v>66</v>
      </c>
      <c r="F1350" t="b">
        <v>0</v>
      </c>
      <c r="G1350" t="b">
        <v>0</v>
      </c>
      <c r="H1350">
        <v>1.2</v>
      </c>
      <c r="I1350" t="s">
        <v>159</v>
      </c>
      <c r="J1350" t="s">
        <v>159</v>
      </c>
      <c r="K1350" t="s">
        <v>159</v>
      </c>
      <c r="L1350" t="s">
        <v>159</v>
      </c>
      <c r="M1350" t="s">
        <v>159</v>
      </c>
      <c r="N1350" t="s">
        <v>159</v>
      </c>
      <c r="O1350" t="s">
        <v>159</v>
      </c>
      <c r="P1350" t="s">
        <v>159</v>
      </c>
      <c r="Q1350" t="s">
        <v>159</v>
      </c>
    </row>
    <row r="1351" spans="1:17">
      <c r="A1351">
        <v>2693.9</v>
      </c>
      <c r="B1351">
        <v>2615.6999999999998</v>
      </c>
      <c r="C1351">
        <v>1816</v>
      </c>
      <c r="D1351">
        <v>1674</v>
      </c>
      <c r="E1351" t="s">
        <v>66</v>
      </c>
      <c r="F1351" t="b">
        <v>0</v>
      </c>
      <c r="G1351" t="b">
        <v>0</v>
      </c>
      <c r="H1351">
        <v>1.7</v>
      </c>
      <c r="I1351" t="s">
        <v>159</v>
      </c>
      <c r="J1351" t="s">
        <v>159</v>
      </c>
      <c r="K1351" t="s">
        <v>159</v>
      </c>
      <c r="L1351" t="s">
        <v>159</v>
      </c>
      <c r="M1351" t="s">
        <v>159</v>
      </c>
      <c r="N1351" t="s">
        <v>159</v>
      </c>
      <c r="O1351" t="s">
        <v>159</v>
      </c>
      <c r="P1351" t="s">
        <v>159</v>
      </c>
      <c r="Q1351" t="s">
        <v>159</v>
      </c>
    </row>
    <row r="1352" spans="1:17">
      <c r="A1352">
        <v>2695</v>
      </c>
      <c r="B1352">
        <v>2616.8000000000002</v>
      </c>
      <c r="C1352">
        <v>1817</v>
      </c>
      <c r="D1352">
        <v>1675</v>
      </c>
      <c r="E1352" t="s">
        <v>66</v>
      </c>
      <c r="F1352" t="b">
        <v>0</v>
      </c>
      <c r="G1352" t="b">
        <v>0</v>
      </c>
      <c r="H1352">
        <v>1.1000000000000001</v>
      </c>
      <c r="I1352" t="s">
        <v>159</v>
      </c>
      <c r="J1352" t="s">
        <v>159</v>
      </c>
      <c r="K1352" t="s">
        <v>159</v>
      </c>
      <c r="L1352" t="s">
        <v>159</v>
      </c>
      <c r="M1352" t="s">
        <v>159</v>
      </c>
      <c r="N1352" t="s">
        <v>159</v>
      </c>
      <c r="O1352" t="s">
        <v>159</v>
      </c>
      <c r="P1352" t="s">
        <v>159</v>
      </c>
      <c r="Q1352" t="s">
        <v>159</v>
      </c>
    </row>
    <row r="1353" spans="1:17">
      <c r="A1353">
        <v>2696.4</v>
      </c>
      <c r="B1353">
        <v>2618.1</v>
      </c>
      <c r="C1353">
        <v>1818</v>
      </c>
      <c r="D1353">
        <v>1676</v>
      </c>
      <c r="E1353" t="s">
        <v>66</v>
      </c>
      <c r="F1353" t="b">
        <v>0</v>
      </c>
      <c r="G1353" t="b">
        <v>0</v>
      </c>
      <c r="H1353">
        <v>1.4</v>
      </c>
      <c r="I1353" t="s">
        <v>159</v>
      </c>
      <c r="J1353" t="s">
        <v>159</v>
      </c>
      <c r="K1353" t="s">
        <v>159</v>
      </c>
      <c r="L1353" t="s">
        <v>159</v>
      </c>
      <c r="M1353" t="s">
        <v>159</v>
      </c>
      <c r="N1353" t="s">
        <v>159</v>
      </c>
      <c r="O1353" t="s">
        <v>159</v>
      </c>
      <c r="P1353" t="s">
        <v>159</v>
      </c>
      <c r="Q1353" t="s">
        <v>159</v>
      </c>
    </row>
    <row r="1354" spans="1:17">
      <c r="A1354">
        <v>2698</v>
      </c>
      <c r="B1354">
        <v>2619.8000000000002</v>
      </c>
      <c r="C1354">
        <v>1819</v>
      </c>
      <c r="D1354">
        <v>1677</v>
      </c>
      <c r="E1354" t="s">
        <v>66</v>
      </c>
      <c r="F1354" t="b">
        <v>0</v>
      </c>
      <c r="G1354" t="b">
        <v>0</v>
      </c>
      <c r="H1354">
        <v>1.7</v>
      </c>
      <c r="I1354" t="s">
        <v>159</v>
      </c>
      <c r="J1354" t="s">
        <v>159</v>
      </c>
      <c r="K1354" t="s">
        <v>159</v>
      </c>
      <c r="L1354" t="s">
        <v>159</v>
      </c>
      <c r="M1354" t="s">
        <v>159</v>
      </c>
      <c r="N1354" t="s">
        <v>159</v>
      </c>
      <c r="O1354" t="s">
        <v>159</v>
      </c>
      <c r="P1354" t="s">
        <v>159</v>
      </c>
      <c r="Q1354" t="s">
        <v>159</v>
      </c>
    </row>
    <row r="1355" spans="1:17">
      <c r="A1355">
        <v>2699.3</v>
      </c>
      <c r="B1355">
        <v>2621</v>
      </c>
      <c r="C1355">
        <v>1820</v>
      </c>
      <c r="D1355">
        <v>1678</v>
      </c>
      <c r="E1355" t="s">
        <v>66</v>
      </c>
      <c r="F1355" t="b">
        <v>0</v>
      </c>
      <c r="G1355" t="b">
        <v>0</v>
      </c>
      <c r="H1355">
        <v>1.2</v>
      </c>
      <c r="I1355" t="s">
        <v>159</v>
      </c>
      <c r="J1355" t="s">
        <v>159</v>
      </c>
      <c r="K1355" t="s">
        <v>159</v>
      </c>
      <c r="L1355" t="s">
        <v>159</v>
      </c>
      <c r="M1355" t="s">
        <v>159</v>
      </c>
      <c r="N1355" t="s">
        <v>159</v>
      </c>
      <c r="O1355" t="s">
        <v>159</v>
      </c>
      <c r="P1355" t="s">
        <v>159</v>
      </c>
      <c r="Q1355" t="s">
        <v>159</v>
      </c>
    </row>
    <row r="1356" spans="1:17">
      <c r="A1356">
        <v>2700.5</v>
      </c>
      <c r="B1356">
        <v>2622.3</v>
      </c>
      <c r="C1356">
        <v>1821</v>
      </c>
      <c r="D1356">
        <v>1679</v>
      </c>
      <c r="E1356" t="s">
        <v>66</v>
      </c>
      <c r="F1356" t="b">
        <v>0</v>
      </c>
      <c r="G1356" t="b">
        <v>0</v>
      </c>
      <c r="H1356">
        <v>1.3</v>
      </c>
      <c r="I1356" t="s">
        <v>159</v>
      </c>
      <c r="J1356" t="s">
        <v>159</v>
      </c>
      <c r="K1356" t="s">
        <v>159</v>
      </c>
      <c r="L1356" t="s">
        <v>159</v>
      </c>
      <c r="M1356" t="s">
        <v>159</v>
      </c>
      <c r="N1356" t="s">
        <v>159</v>
      </c>
      <c r="O1356" t="s">
        <v>159</v>
      </c>
      <c r="P1356" t="s">
        <v>159</v>
      </c>
      <c r="Q1356" t="s">
        <v>159</v>
      </c>
    </row>
    <row r="1357" spans="1:17">
      <c r="A1357">
        <v>2702.7</v>
      </c>
      <c r="B1357">
        <v>2624.5</v>
      </c>
      <c r="C1357">
        <v>1822</v>
      </c>
      <c r="D1357">
        <v>1680</v>
      </c>
      <c r="E1357" t="s">
        <v>66</v>
      </c>
      <c r="F1357" t="b">
        <v>0</v>
      </c>
      <c r="G1357" t="b">
        <v>0</v>
      </c>
      <c r="H1357">
        <v>2.2000000000000002</v>
      </c>
      <c r="I1357" t="s">
        <v>159</v>
      </c>
      <c r="J1357" t="s">
        <v>159</v>
      </c>
      <c r="K1357" t="s">
        <v>159</v>
      </c>
      <c r="L1357" t="s">
        <v>159</v>
      </c>
      <c r="M1357" t="s">
        <v>159</v>
      </c>
      <c r="N1357" t="s">
        <v>159</v>
      </c>
      <c r="O1357" t="s">
        <v>159</v>
      </c>
      <c r="P1357" t="s">
        <v>159</v>
      </c>
      <c r="Q1357" t="s">
        <v>159</v>
      </c>
    </row>
    <row r="1358" spans="1:17">
      <c r="A1358">
        <v>2704.5</v>
      </c>
      <c r="B1358">
        <v>2626.3</v>
      </c>
      <c r="C1358">
        <v>1824</v>
      </c>
      <c r="D1358">
        <v>1681</v>
      </c>
      <c r="E1358" t="s">
        <v>66</v>
      </c>
      <c r="F1358" t="b">
        <v>0</v>
      </c>
      <c r="G1358" t="b">
        <v>0</v>
      </c>
      <c r="H1358">
        <v>1.8</v>
      </c>
      <c r="I1358" t="s">
        <v>159</v>
      </c>
      <c r="J1358" t="s">
        <v>159</v>
      </c>
      <c r="K1358" t="s">
        <v>159</v>
      </c>
      <c r="L1358" t="s">
        <v>159</v>
      </c>
      <c r="M1358" t="s">
        <v>159</v>
      </c>
      <c r="N1358" t="s">
        <v>159</v>
      </c>
      <c r="O1358" t="s">
        <v>159</v>
      </c>
      <c r="P1358" t="s">
        <v>159</v>
      </c>
      <c r="Q1358" t="s">
        <v>159</v>
      </c>
    </row>
    <row r="1359" spans="1:17">
      <c r="A1359">
        <v>2706.1</v>
      </c>
      <c r="B1359">
        <v>2627.9</v>
      </c>
      <c r="C1359">
        <v>1825</v>
      </c>
      <c r="D1359">
        <v>1682</v>
      </c>
      <c r="E1359" t="s">
        <v>66</v>
      </c>
      <c r="F1359" t="b">
        <v>0</v>
      </c>
      <c r="G1359" t="b">
        <v>0</v>
      </c>
      <c r="H1359">
        <v>1.6</v>
      </c>
      <c r="I1359" t="s">
        <v>159</v>
      </c>
      <c r="J1359" t="s">
        <v>159</v>
      </c>
      <c r="K1359" t="s">
        <v>159</v>
      </c>
      <c r="L1359" t="s">
        <v>159</v>
      </c>
      <c r="M1359" t="s">
        <v>159</v>
      </c>
      <c r="N1359" t="s">
        <v>159</v>
      </c>
      <c r="O1359" t="s">
        <v>159</v>
      </c>
      <c r="P1359" t="s">
        <v>159</v>
      </c>
      <c r="Q1359" t="s">
        <v>159</v>
      </c>
    </row>
    <row r="1360" spans="1:17">
      <c r="A1360">
        <v>2707.5</v>
      </c>
      <c r="B1360">
        <v>2629.3</v>
      </c>
      <c r="C1360">
        <v>1826</v>
      </c>
      <c r="D1360">
        <v>1683</v>
      </c>
      <c r="E1360" t="s">
        <v>66</v>
      </c>
      <c r="F1360" t="b">
        <v>0</v>
      </c>
      <c r="G1360" t="b">
        <v>0</v>
      </c>
      <c r="H1360">
        <v>1.4</v>
      </c>
      <c r="I1360" t="s">
        <v>159</v>
      </c>
      <c r="J1360" t="s">
        <v>159</v>
      </c>
      <c r="K1360" t="s">
        <v>159</v>
      </c>
      <c r="L1360" t="s">
        <v>159</v>
      </c>
      <c r="M1360" t="s">
        <v>159</v>
      </c>
      <c r="N1360" t="s">
        <v>159</v>
      </c>
      <c r="O1360" t="s">
        <v>159</v>
      </c>
      <c r="P1360" t="s">
        <v>159</v>
      </c>
      <c r="Q1360" t="s">
        <v>159</v>
      </c>
    </row>
    <row r="1361" spans="1:17">
      <c r="A1361">
        <v>2709.1</v>
      </c>
      <c r="B1361">
        <v>2630.9</v>
      </c>
      <c r="C1361">
        <v>1827</v>
      </c>
      <c r="D1361">
        <v>1684</v>
      </c>
      <c r="E1361" t="s">
        <v>66</v>
      </c>
      <c r="F1361" t="b">
        <v>0</v>
      </c>
      <c r="G1361" t="b">
        <v>0</v>
      </c>
      <c r="H1361">
        <v>1.6</v>
      </c>
      <c r="I1361" t="s">
        <v>159</v>
      </c>
      <c r="J1361" t="s">
        <v>159</v>
      </c>
      <c r="K1361" t="s">
        <v>159</v>
      </c>
      <c r="L1361" t="s">
        <v>159</v>
      </c>
      <c r="M1361" t="s">
        <v>159</v>
      </c>
      <c r="N1361" t="s">
        <v>159</v>
      </c>
      <c r="O1361" t="s">
        <v>159</v>
      </c>
      <c r="P1361" t="s">
        <v>159</v>
      </c>
      <c r="Q1361" t="s">
        <v>159</v>
      </c>
    </row>
    <row r="1362" spans="1:17">
      <c r="A1362">
        <v>2711.3</v>
      </c>
      <c r="B1362">
        <v>2633.1</v>
      </c>
      <c r="C1362">
        <v>1828</v>
      </c>
      <c r="D1362">
        <v>1685</v>
      </c>
      <c r="E1362" t="s">
        <v>66</v>
      </c>
      <c r="F1362" t="b">
        <v>0</v>
      </c>
      <c r="G1362" t="b">
        <v>0</v>
      </c>
      <c r="H1362">
        <v>2.2000000000000002</v>
      </c>
      <c r="I1362" t="s">
        <v>159</v>
      </c>
      <c r="J1362" t="s">
        <v>159</v>
      </c>
      <c r="K1362" t="s">
        <v>159</v>
      </c>
      <c r="L1362" t="s">
        <v>159</v>
      </c>
      <c r="M1362" t="s">
        <v>159</v>
      </c>
      <c r="N1362" t="s">
        <v>159</v>
      </c>
      <c r="O1362" t="s">
        <v>159</v>
      </c>
      <c r="P1362" t="s">
        <v>159</v>
      </c>
      <c r="Q1362" t="s">
        <v>159</v>
      </c>
    </row>
    <row r="1363" spans="1:17">
      <c r="A1363">
        <v>2712.8</v>
      </c>
      <c r="B1363">
        <v>2634.6</v>
      </c>
      <c r="C1363">
        <v>1830</v>
      </c>
      <c r="D1363">
        <v>1686</v>
      </c>
      <c r="E1363" t="s">
        <v>66</v>
      </c>
      <c r="F1363" t="b">
        <v>0</v>
      </c>
      <c r="G1363" t="b">
        <v>0</v>
      </c>
      <c r="H1363">
        <v>1.6</v>
      </c>
      <c r="I1363" t="s">
        <v>159</v>
      </c>
      <c r="J1363" t="s">
        <v>159</v>
      </c>
      <c r="K1363" t="s">
        <v>159</v>
      </c>
      <c r="L1363" t="s">
        <v>159</v>
      </c>
      <c r="M1363" t="s">
        <v>159</v>
      </c>
      <c r="N1363" t="s">
        <v>159</v>
      </c>
      <c r="O1363" t="s">
        <v>159</v>
      </c>
      <c r="P1363" t="s">
        <v>159</v>
      </c>
      <c r="Q1363" t="s">
        <v>159</v>
      </c>
    </row>
    <row r="1364" spans="1:17">
      <c r="A1364">
        <v>2714.6</v>
      </c>
      <c r="B1364">
        <v>2636.4</v>
      </c>
      <c r="C1364">
        <v>1831</v>
      </c>
      <c r="D1364">
        <v>1687</v>
      </c>
      <c r="E1364" t="s">
        <v>66</v>
      </c>
      <c r="F1364" t="b">
        <v>0</v>
      </c>
      <c r="G1364" t="b">
        <v>0</v>
      </c>
      <c r="H1364">
        <v>1.8</v>
      </c>
      <c r="I1364" t="s">
        <v>159</v>
      </c>
      <c r="J1364" t="s">
        <v>159</v>
      </c>
      <c r="K1364" t="s">
        <v>159</v>
      </c>
      <c r="L1364" t="s">
        <v>159</v>
      </c>
      <c r="M1364" t="s">
        <v>159</v>
      </c>
      <c r="N1364" t="s">
        <v>159</v>
      </c>
      <c r="O1364" t="s">
        <v>159</v>
      </c>
      <c r="P1364" t="s">
        <v>159</v>
      </c>
      <c r="Q1364" t="s">
        <v>159</v>
      </c>
    </row>
    <row r="1365" spans="1:17">
      <c r="A1365">
        <v>2716.1</v>
      </c>
      <c r="B1365">
        <v>2637.9</v>
      </c>
      <c r="C1365">
        <v>1832</v>
      </c>
      <c r="D1365">
        <v>1688</v>
      </c>
      <c r="E1365" t="s">
        <v>66</v>
      </c>
      <c r="F1365" t="b">
        <v>0</v>
      </c>
      <c r="G1365" t="b">
        <v>0</v>
      </c>
      <c r="H1365">
        <v>1.5</v>
      </c>
      <c r="I1365" t="s">
        <v>159</v>
      </c>
      <c r="J1365" t="s">
        <v>159</v>
      </c>
      <c r="K1365" t="s">
        <v>159</v>
      </c>
      <c r="L1365" t="s">
        <v>159</v>
      </c>
      <c r="M1365" t="s">
        <v>159</v>
      </c>
      <c r="N1365" t="s">
        <v>159</v>
      </c>
      <c r="O1365" t="s">
        <v>159</v>
      </c>
      <c r="P1365" t="s">
        <v>159</v>
      </c>
      <c r="Q1365" t="s">
        <v>159</v>
      </c>
    </row>
    <row r="1366" spans="1:17">
      <c r="A1366">
        <v>2718.3</v>
      </c>
      <c r="B1366">
        <v>2640</v>
      </c>
      <c r="C1366">
        <v>1833</v>
      </c>
      <c r="D1366">
        <v>1689</v>
      </c>
      <c r="E1366" t="s">
        <v>66</v>
      </c>
      <c r="F1366" t="b">
        <v>0</v>
      </c>
      <c r="G1366" t="b">
        <v>0</v>
      </c>
      <c r="H1366">
        <v>2.1</v>
      </c>
      <c r="I1366" t="s">
        <v>159</v>
      </c>
      <c r="J1366" t="s">
        <v>159</v>
      </c>
      <c r="K1366" t="s">
        <v>159</v>
      </c>
      <c r="L1366" t="s">
        <v>159</v>
      </c>
      <c r="M1366" t="s">
        <v>159</v>
      </c>
      <c r="N1366" t="s">
        <v>159</v>
      </c>
      <c r="O1366" t="s">
        <v>159</v>
      </c>
      <c r="P1366" t="s">
        <v>159</v>
      </c>
      <c r="Q1366" t="s">
        <v>159</v>
      </c>
    </row>
    <row r="1367" spans="1:17">
      <c r="A1367">
        <v>2720.8</v>
      </c>
      <c r="B1367">
        <v>2642.6</v>
      </c>
      <c r="C1367">
        <v>1835</v>
      </c>
      <c r="D1367">
        <v>1690</v>
      </c>
      <c r="E1367" t="s">
        <v>66</v>
      </c>
      <c r="F1367" t="b">
        <v>0</v>
      </c>
      <c r="G1367" t="b">
        <v>0</v>
      </c>
      <c r="H1367">
        <v>2.6</v>
      </c>
      <c r="I1367">
        <v>4.758</v>
      </c>
      <c r="J1367" t="s">
        <v>159</v>
      </c>
      <c r="K1367" t="s">
        <v>159</v>
      </c>
      <c r="L1367" t="s">
        <v>159</v>
      </c>
      <c r="M1367" t="s">
        <v>159</v>
      </c>
      <c r="N1367" t="s">
        <v>159</v>
      </c>
      <c r="O1367" t="s">
        <v>159</v>
      </c>
      <c r="P1367" t="s">
        <v>159</v>
      </c>
      <c r="Q1367" t="s">
        <v>159</v>
      </c>
    </row>
    <row r="1368" spans="1:17">
      <c r="A1368">
        <v>2723</v>
      </c>
      <c r="B1368">
        <v>2644.7</v>
      </c>
      <c r="C1368">
        <v>1837</v>
      </c>
      <c r="D1368">
        <v>1691</v>
      </c>
      <c r="E1368" t="s">
        <v>66</v>
      </c>
      <c r="F1368" t="b">
        <v>0</v>
      </c>
      <c r="G1368" t="b">
        <v>0</v>
      </c>
      <c r="H1368">
        <v>2.1</v>
      </c>
      <c r="I1368">
        <v>4.758</v>
      </c>
      <c r="J1368" t="s">
        <v>159</v>
      </c>
      <c r="K1368" t="s">
        <v>159</v>
      </c>
      <c r="L1368" t="s">
        <v>159</v>
      </c>
      <c r="M1368" t="s">
        <v>159</v>
      </c>
      <c r="N1368" t="s">
        <v>159</v>
      </c>
      <c r="O1368" t="s">
        <v>159</v>
      </c>
      <c r="P1368" t="s">
        <v>159</v>
      </c>
      <c r="Q1368" t="s">
        <v>159</v>
      </c>
    </row>
    <row r="1369" spans="1:17">
      <c r="A1369">
        <v>2725.1</v>
      </c>
      <c r="B1369">
        <v>2646.9</v>
      </c>
      <c r="C1369">
        <v>1838</v>
      </c>
      <c r="D1369">
        <v>1692</v>
      </c>
      <c r="E1369" t="s">
        <v>66</v>
      </c>
      <c r="F1369" t="b">
        <v>0</v>
      </c>
      <c r="G1369" t="b">
        <v>0</v>
      </c>
      <c r="H1369">
        <v>2.2000000000000002</v>
      </c>
      <c r="I1369">
        <v>4.758</v>
      </c>
      <c r="J1369" t="s">
        <v>159</v>
      </c>
      <c r="K1369" t="s">
        <v>159</v>
      </c>
      <c r="L1369" t="s">
        <v>159</v>
      </c>
      <c r="M1369" t="s">
        <v>159</v>
      </c>
      <c r="N1369" t="s">
        <v>159</v>
      </c>
      <c r="O1369" t="s">
        <v>159</v>
      </c>
      <c r="P1369" t="s">
        <v>159</v>
      </c>
      <c r="Q1369" t="s">
        <v>159</v>
      </c>
    </row>
    <row r="1370" spans="1:17">
      <c r="A1370">
        <v>2727.3</v>
      </c>
      <c r="B1370">
        <v>2649.1</v>
      </c>
      <c r="C1370">
        <v>1840</v>
      </c>
      <c r="D1370">
        <v>1693</v>
      </c>
      <c r="E1370" t="s">
        <v>66</v>
      </c>
      <c r="F1370" t="b">
        <v>0</v>
      </c>
      <c r="G1370" t="b">
        <v>0</v>
      </c>
      <c r="H1370">
        <v>2.2000000000000002</v>
      </c>
      <c r="I1370">
        <v>4.758</v>
      </c>
      <c r="J1370" t="s">
        <v>159</v>
      </c>
      <c r="K1370" t="s">
        <v>159</v>
      </c>
      <c r="L1370" t="s">
        <v>159</v>
      </c>
      <c r="M1370" t="s">
        <v>159</v>
      </c>
      <c r="N1370" t="s">
        <v>159</v>
      </c>
      <c r="O1370" t="s">
        <v>159</v>
      </c>
      <c r="P1370" t="s">
        <v>159</v>
      </c>
      <c r="Q1370" t="s">
        <v>159</v>
      </c>
    </row>
    <row r="1371" spans="1:17">
      <c r="A1371">
        <v>2728.6</v>
      </c>
      <c r="B1371">
        <v>2650.4</v>
      </c>
      <c r="C1371">
        <v>1841</v>
      </c>
      <c r="D1371">
        <v>1694</v>
      </c>
      <c r="E1371" t="s">
        <v>66</v>
      </c>
      <c r="F1371" t="b">
        <v>0</v>
      </c>
      <c r="G1371" t="b">
        <v>0</v>
      </c>
      <c r="H1371">
        <v>1.3</v>
      </c>
      <c r="I1371">
        <v>4.758</v>
      </c>
      <c r="J1371" t="s">
        <v>159</v>
      </c>
      <c r="K1371" t="s">
        <v>159</v>
      </c>
      <c r="L1371" t="s">
        <v>159</v>
      </c>
      <c r="M1371" t="s">
        <v>159</v>
      </c>
      <c r="N1371" t="s">
        <v>159</v>
      </c>
      <c r="O1371" t="s">
        <v>159</v>
      </c>
      <c r="P1371" t="s">
        <v>159</v>
      </c>
      <c r="Q1371" t="s">
        <v>159</v>
      </c>
    </row>
    <row r="1372" spans="1:17">
      <c r="A1372">
        <v>2730.6</v>
      </c>
      <c r="B1372">
        <v>2652.3</v>
      </c>
      <c r="C1372">
        <v>1842</v>
      </c>
      <c r="D1372">
        <v>1695</v>
      </c>
      <c r="E1372" t="s">
        <v>66</v>
      </c>
      <c r="F1372" t="b">
        <v>0</v>
      </c>
      <c r="G1372" t="b">
        <v>0</v>
      </c>
      <c r="H1372">
        <v>1.9</v>
      </c>
      <c r="I1372">
        <v>4.758</v>
      </c>
      <c r="J1372" t="s">
        <v>159</v>
      </c>
      <c r="K1372" t="s">
        <v>159</v>
      </c>
      <c r="L1372" t="s">
        <v>159</v>
      </c>
      <c r="M1372" t="s">
        <v>159</v>
      </c>
      <c r="N1372" t="s">
        <v>159</v>
      </c>
      <c r="O1372" t="s">
        <v>159</v>
      </c>
      <c r="P1372" t="s">
        <v>159</v>
      </c>
      <c r="Q1372" t="s">
        <v>159</v>
      </c>
    </row>
    <row r="1373" spans="1:17">
      <c r="A1373">
        <v>2731.8</v>
      </c>
      <c r="B1373">
        <v>2653.5</v>
      </c>
      <c r="C1373">
        <v>1843</v>
      </c>
      <c r="D1373">
        <v>1696</v>
      </c>
      <c r="E1373" t="s">
        <v>66</v>
      </c>
      <c r="F1373" t="b">
        <v>0</v>
      </c>
      <c r="G1373" t="b">
        <v>0</v>
      </c>
      <c r="H1373">
        <v>1.2</v>
      </c>
      <c r="I1373">
        <v>4.758</v>
      </c>
      <c r="J1373" t="s">
        <v>159</v>
      </c>
      <c r="K1373" t="s">
        <v>159</v>
      </c>
      <c r="L1373" t="s">
        <v>159</v>
      </c>
      <c r="M1373" t="s">
        <v>159</v>
      </c>
      <c r="N1373" t="s">
        <v>159</v>
      </c>
      <c r="O1373" t="s">
        <v>159</v>
      </c>
      <c r="P1373" t="s">
        <v>159</v>
      </c>
      <c r="Q1373" t="s">
        <v>159</v>
      </c>
    </row>
    <row r="1374" spans="1:17">
      <c r="A1374">
        <v>2732.4</v>
      </c>
      <c r="B1374">
        <v>2654.2</v>
      </c>
      <c r="C1374">
        <v>1844</v>
      </c>
      <c r="D1374">
        <v>1697</v>
      </c>
      <c r="E1374" t="s">
        <v>66</v>
      </c>
      <c r="F1374" t="b">
        <v>0</v>
      </c>
      <c r="G1374" t="b">
        <v>0</v>
      </c>
      <c r="H1374">
        <v>0.6</v>
      </c>
      <c r="I1374">
        <v>4.758</v>
      </c>
      <c r="J1374" t="s">
        <v>159</v>
      </c>
      <c r="K1374" t="s">
        <v>159</v>
      </c>
      <c r="L1374" t="s">
        <v>159</v>
      </c>
      <c r="M1374" t="s">
        <v>159</v>
      </c>
      <c r="N1374" t="s">
        <v>159</v>
      </c>
      <c r="O1374" t="s">
        <v>159</v>
      </c>
      <c r="P1374" t="s">
        <v>159</v>
      </c>
      <c r="Q1374" t="s">
        <v>159</v>
      </c>
    </row>
    <row r="1375" spans="1:17">
      <c r="A1375">
        <v>2734.1</v>
      </c>
      <c r="B1375">
        <v>2655.9</v>
      </c>
      <c r="C1375">
        <v>1845</v>
      </c>
      <c r="D1375">
        <v>1698</v>
      </c>
      <c r="E1375" t="s">
        <v>66</v>
      </c>
      <c r="F1375" t="b">
        <v>0</v>
      </c>
      <c r="G1375" t="b">
        <v>0</v>
      </c>
      <c r="H1375">
        <v>1.7</v>
      </c>
      <c r="I1375">
        <v>4.758</v>
      </c>
      <c r="J1375" t="s">
        <v>159</v>
      </c>
      <c r="K1375" t="s">
        <v>159</v>
      </c>
      <c r="L1375" t="s">
        <v>159</v>
      </c>
      <c r="M1375" t="s">
        <v>159</v>
      </c>
      <c r="N1375" t="s">
        <v>159</v>
      </c>
      <c r="O1375" t="s">
        <v>159</v>
      </c>
      <c r="P1375" t="s">
        <v>159</v>
      </c>
      <c r="Q1375" t="s">
        <v>159</v>
      </c>
    </row>
    <row r="1376" spans="1:17">
      <c r="A1376">
        <v>2738.3</v>
      </c>
      <c r="B1376">
        <v>2660</v>
      </c>
      <c r="C1376">
        <v>1848</v>
      </c>
      <c r="D1376">
        <v>1700</v>
      </c>
      <c r="E1376" t="s">
        <v>66</v>
      </c>
      <c r="F1376" t="b">
        <v>0</v>
      </c>
      <c r="G1376" t="b">
        <v>1</v>
      </c>
      <c r="H1376">
        <v>4.2</v>
      </c>
      <c r="I1376">
        <v>4.758</v>
      </c>
      <c r="J1376" t="s">
        <v>159</v>
      </c>
      <c r="K1376" t="s">
        <v>159</v>
      </c>
      <c r="L1376" t="s">
        <v>159</v>
      </c>
      <c r="M1376" t="s">
        <v>159</v>
      </c>
      <c r="N1376" t="s">
        <v>159</v>
      </c>
      <c r="O1376" t="s">
        <v>159</v>
      </c>
      <c r="P1376" t="s">
        <v>159</v>
      </c>
      <c r="Q1376" t="s">
        <v>159</v>
      </c>
    </row>
    <row r="1377" spans="1:17">
      <c r="A1377">
        <v>2740.2</v>
      </c>
      <c r="B1377">
        <v>2661.9</v>
      </c>
      <c r="C1377">
        <v>1849</v>
      </c>
      <c r="D1377">
        <v>1701</v>
      </c>
      <c r="E1377" t="s">
        <v>66</v>
      </c>
      <c r="F1377" t="b">
        <v>0</v>
      </c>
      <c r="G1377" t="b">
        <v>0</v>
      </c>
      <c r="H1377">
        <v>1.9</v>
      </c>
      <c r="I1377">
        <v>4.758</v>
      </c>
      <c r="J1377" t="s">
        <v>159</v>
      </c>
      <c r="K1377" t="s">
        <v>159</v>
      </c>
      <c r="L1377" t="s">
        <v>159</v>
      </c>
      <c r="M1377" t="s">
        <v>159</v>
      </c>
      <c r="N1377" t="s">
        <v>159</v>
      </c>
      <c r="O1377" t="s">
        <v>159</v>
      </c>
      <c r="P1377" t="s">
        <v>159</v>
      </c>
      <c r="Q1377" t="s">
        <v>159</v>
      </c>
    </row>
    <row r="1378" spans="1:17">
      <c r="A1378">
        <v>2742.7</v>
      </c>
      <c r="B1378">
        <v>2664.5</v>
      </c>
      <c r="C1378">
        <v>1851</v>
      </c>
      <c r="D1378">
        <v>1702</v>
      </c>
      <c r="E1378" t="s">
        <v>66</v>
      </c>
      <c r="F1378" t="b">
        <v>0</v>
      </c>
      <c r="G1378" t="b">
        <v>0</v>
      </c>
      <c r="H1378">
        <v>2.6</v>
      </c>
      <c r="I1378" t="s">
        <v>159</v>
      </c>
      <c r="J1378" t="s">
        <v>159</v>
      </c>
      <c r="K1378" t="s">
        <v>159</v>
      </c>
      <c r="L1378" t="s">
        <v>159</v>
      </c>
      <c r="M1378" t="s">
        <v>159</v>
      </c>
      <c r="N1378" t="s">
        <v>159</v>
      </c>
      <c r="O1378" t="s">
        <v>159</v>
      </c>
      <c r="P1378" t="s">
        <v>159</v>
      </c>
      <c r="Q1378" t="s">
        <v>159</v>
      </c>
    </row>
    <row r="1379" spans="1:17">
      <c r="A1379">
        <v>2744.8</v>
      </c>
      <c r="B1379">
        <v>2666.6</v>
      </c>
      <c r="C1379">
        <v>1853</v>
      </c>
      <c r="D1379">
        <v>1703</v>
      </c>
      <c r="E1379" t="s">
        <v>66</v>
      </c>
      <c r="F1379" t="b">
        <v>0</v>
      </c>
      <c r="G1379" t="b">
        <v>0</v>
      </c>
      <c r="H1379">
        <v>2.1</v>
      </c>
      <c r="I1379" t="s">
        <v>159</v>
      </c>
      <c r="J1379" t="s">
        <v>159</v>
      </c>
      <c r="K1379" t="s">
        <v>159</v>
      </c>
      <c r="L1379" t="s">
        <v>159</v>
      </c>
      <c r="M1379" t="s">
        <v>159</v>
      </c>
      <c r="N1379" t="s">
        <v>159</v>
      </c>
      <c r="O1379" t="s">
        <v>159</v>
      </c>
      <c r="P1379" t="s">
        <v>159</v>
      </c>
      <c r="Q1379" t="s">
        <v>159</v>
      </c>
    </row>
    <row r="1380" spans="1:17">
      <c r="A1380">
        <v>2746.4</v>
      </c>
      <c r="B1380">
        <v>2668.2</v>
      </c>
      <c r="C1380">
        <v>1854</v>
      </c>
      <c r="D1380">
        <v>1704</v>
      </c>
      <c r="E1380" t="s">
        <v>66</v>
      </c>
      <c r="F1380" t="b">
        <v>0</v>
      </c>
      <c r="G1380" t="b">
        <v>0</v>
      </c>
      <c r="H1380">
        <v>1.6</v>
      </c>
      <c r="I1380" t="s">
        <v>159</v>
      </c>
      <c r="J1380" t="s">
        <v>159</v>
      </c>
      <c r="K1380" t="s">
        <v>159</v>
      </c>
      <c r="L1380" t="s">
        <v>159</v>
      </c>
      <c r="M1380" t="s">
        <v>159</v>
      </c>
      <c r="N1380" t="s">
        <v>159</v>
      </c>
      <c r="O1380" t="s">
        <v>159</v>
      </c>
      <c r="P1380" t="s">
        <v>159</v>
      </c>
      <c r="Q1380" t="s">
        <v>159</v>
      </c>
    </row>
    <row r="1381" spans="1:17">
      <c r="A1381">
        <v>2747.9</v>
      </c>
      <c r="B1381">
        <v>2669.6</v>
      </c>
      <c r="C1381">
        <v>1855</v>
      </c>
      <c r="D1381">
        <v>1705</v>
      </c>
      <c r="E1381" t="s">
        <v>66</v>
      </c>
      <c r="F1381" t="b">
        <v>0</v>
      </c>
      <c r="G1381" t="b">
        <v>0</v>
      </c>
      <c r="H1381">
        <v>1.5</v>
      </c>
      <c r="I1381" t="s">
        <v>159</v>
      </c>
      <c r="J1381" t="s">
        <v>159</v>
      </c>
      <c r="K1381" t="s">
        <v>159</v>
      </c>
      <c r="L1381" t="s">
        <v>159</v>
      </c>
      <c r="M1381" t="s">
        <v>159</v>
      </c>
      <c r="N1381" t="s">
        <v>159</v>
      </c>
      <c r="O1381" t="s">
        <v>159</v>
      </c>
      <c r="P1381" t="s">
        <v>159</v>
      </c>
      <c r="Q1381" t="s">
        <v>159</v>
      </c>
    </row>
    <row r="1382" spans="1:17">
      <c r="A1382">
        <v>2748.7</v>
      </c>
      <c r="B1382">
        <v>2670.5</v>
      </c>
      <c r="C1382">
        <v>1855</v>
      </c>
      <c r="D1382">
        <v>1706</v>
      </c>
      <c r="E1382" t="s">
        <v>66</v>
      </c>
      <c r="F1382" t="b">
        <v>0</v>
      </c>
      <c r="G1382" t="b">
        <v>0</v>
      </c>
      <c r="H1382">
        <v>0.8</v>
      </c>
      <c r="I1382" t="s">
        <v>159</v>
      </c>
      <c r="J1382" t="s">
        <v>159</v>
      </c>
      <c r="K1382" t="s">
        <v>159</v>
      </c>
      <c r="L1382" t="s">
        <v>159</v>
      </c>
      <c r="M1382" t="s">
        <v>159</v>
      </c>
      <c r="N1382" t="s">
        <v>159</v>
      </c>
      <c r="O1382" t="s">
        <v>159</v>
      </c>
      <c r="P1382" t="s">
        <v>159</v>
      </c>
      <c r="Q1382" t="s">
        <v>159</v>
      </c>
    </row>
    <row r="1383" spans="1:17">
      <c r="A1383">
        <v>2750.1</v>
      </c>
      <c r="B1383">
        <v>2671.8</v>
      </c>
      <c r="C1383">
        <v>1856</v>
      </c>
      <c r="D1383">
        <v>1707</v>
      </c>
      <c r="E1383" t="s">
        <v>66</v>
      </c>
      <c r="F1383" t="b">
        <v>0</v>
      </c>
      <c r="G1383" t="b">
        <v>0</v>
      </c>
      <c r="H1383">
        <v>1.3</v>
      </c>
      <c r="I1383" t="s">
        <v>159</v>
      </c>
      <c r="J1383" t="s">
        <v>159</v>
      </c>
      <c r="K1383" t="s">
        <v>159</v>
      </c>
      <c r="L1383" t="s">
        <v>159</v>
      </c>
      <c r="M1383" t="s">
        <v>159</v>
      </c>
      <c r="N1383" t="s">
        <v>159</v>
      </c>
      <c r="O1383" t="s">
        <v>159</v>
      </c>
      <c r="P1383" t="s">
        <v>159</v>
      </c>
      <c r="Q1383" t="s">
        <v>159</v>
      </c>
    </row>
    <row r="1384" spans="1:17">
      <c r="A1384">
        <v>2751.2</v>
      </c>
      <c r="B1384">
        <v>2673</v>
      </c>
      <c r="C1384">
        <v>1857</v>
      </c>
      <c r="D1384">
        <v>1708</v>
      </c>
      <c r="E1384" t="s">
        <v>66</v>
      </c>
      <c r="F1384" t="b">
        <v>0</v>
      </c>
      <c r="G1384" t="b">
        <v>0</v>
      </c>
      <c r="H1384">
        <v>1.2</v>
      </c>
      <c r="I1384" t="s">
        <v>159</v>
      </c>
      <c r="J1384" t="s">
        <v>159</v>
      </c>
      <c r="K1384" t="s">
        <v>159</v>
      </c>
      <c r="L1384" t="s">
        <v>159</v>
      </c>
      <c r="M1384" t="s">
        <v>159</v>
      </c>
      <c r="N1384" t="s">
        <v>159</v>
      </c>
      <c r="O1384" t="s">
        <v>159</v>
      </c>
      <c r="P1384" t="s">
        <v>159</v>
      </c>
      <c r="Q1384" t="s">
        <v>159</v>
      </c>
    </row>
    <row r="1385" spans="1:17">
      <c r="A1385">
        <v>2753.6</v>
      </c>
      <c r="B1385">
        <v>2675.3</v>
      </c>
      <c r="C1385">
        <v>1859</v>
      </c>
      <c r="D1385">
        <v>1709</v>
      </c>
      <c r="E1385" t="s">
        <v>66</v>
      </c>
      <c r="F1385" t="b">
        <v>0</v>
      </c>
      <c r="G1385" t="b">
        <v>0</v>
      </c>
      <c r="H1385">
        <v>2.2999999999999998</v>
      </c>
      <c r="I1385" t="s">
        <v>159</v>
      </c>
      <c r="J1385" t="s">
        <v>159</v>
      </c>
      <c r="K1385" t="s">
        <v>159</v>
      </c>
      <c r="L1385" t="s">
        <v>159</v>
      </c>
      <c r="M1385" t="s">
        <v>159</v>
      </c>
      <c r="N1385" t="s">
        <v>159</v>
      </c>
      <c r="O1385" t="s">
        <v>159</v>
      </c>
      <c r="P1385" t="s">
        <v>159</v>
      </c>
      <c r="Q1385" t="s">
        <v>159</v>
      </c>
    </row>
    <row r="1386" spans="1:17">
      <c r="A1386">
        <v>2754.7</v>
      </c>
      <c r="B1386">
        <v>2676.5</v>
      </c>
      <c r="C1386">
        <v>1860</v>
      </c>
      <c r="D1386">
        <v>1710</v>
      </c>
      <c r="E1386" t="s">
        <v>66</v>
      </c>
      <c r="F1386" t="b">
        <v>0</v>
      </c>
      <c r="G1386" t="b">
        <v>0</v>
      </c>
      <c r="H1386">
        <v>1.1000000000000001</v>
      </c>
      <c r="I1386" t="s">
        <v>159</v>
      </c>
      <c r="J1386">
        <v>0.90800000000000003</v>
      </c>
      <c r="K1386">
        <v>3.52</v>
      </c>
      <c r="L1386">
        <v>7.03</v>
      </c>
      <c r="M1386">
        <v>13</v>
      </c>
      <c r="N1386">
        <v>21.1</v>
      </c>
      <c r="O1386">
        <v>15.12</v>
      </c>
      <c r="P1386">
        <v>84.66</v>
      </c>
      <c r="Q1386">
        <v>0.23</v>
      </c>
    </row>
    <row r="1387" spans="1:17">
      <c r="A1387">
        <v>2756.5</v>
      </c>
      <c r="B1387">
        <v>2678.2</v>
      </c>
      <c r="C1387">
        <v>1861</v>
      </c>
      <c r="D1387">
        <v>1711</v>
      </c>
      <c r="E1387" t="s">
        <v>66</v>
      </c>
      <c r="F1387" t="b">
        <v>0</v>
      </c>
      <c r="G1387" t="b">
        <v>0</v>
      </c>
      <c r="H1387">
        <v>1.8</v>
      </c>
      <c r="I1387" t="s">
        <v>159</v>
      </c>
      <c r="J1387">
        <v>0.90800000000000003</v>
      </c>
      <c r="K1387">
        <v>3.52</v>
      </c>
      <c r="L1387">
        <v>7.03</v>
      </c>
      <c r="M1387">
        <v>13</v>
      </c>
      <c r="N1387">
        <v>21.1</v>
      </c>
      <c r="O1387">
        <v>15.12</v>
      </c>
      <c r="P1387">
        <v>84.66</v>
      </c>
      <c r="Q1387">
        <v>0.23</v>
      </c>
    </row>
    <row r="1388" spans="1:17">
      <c r="A1388">
        <v>2758.5</v>
      </c>
      <c r="B1388">
        <v>2680.3</v>
      </c>
      <c r="C1388">
        <v>1862</v>
      </c>
      <c r="D1388">
        <v>1712</v>
      </c>
      <c r="E1388" t="s">
        <v>66</v>
      </c>
      <c r="F1388" t="b">
        <v>0</v>
      </c>
      <c r="G1388" t="b">
        <v>0</v>
      </c>
      <c r="H1388">
        <v>2</v>
      </c>
      <c r="I1388" t="s">
        <v>159</v>
      </c>
      <c r="J1388">
        <v>0.90800000000000003</v>
      </c>
      <c r="K1388">
        <v>3.52</v>
      </c>
      <c r="L1388">
        <v>7.03</v>
      </c>
      <c r="M1388">
        <v>13</v>
      </c>
      <c r="N1388">
        <v>21.1</v>
      </c>
      <c r="O1388">
        <v>15.12</v>
      </c>
      <c r="P1388">
        <v>84.66</v>
      </c>
      <c r="Q1388">
        <v>0.23</v>
      </c>
    </row>
    <row r="1389" spans="1:17">
      <c r="A1389">
        <v>2760.3</v>
      </c>
      <c r="B1389">
        <v>2682.1</v>
      </c>
      <c r="C1389">
        <v>1864</v>
      </c>
      <c r="D1389">
        <v>1713</v>
      </c>
      <c r="E1389" t="s">
        <v>66</v>
      </c>
      <c r="F1389" t="b">
        <v>0</v>
      </c>
      <c r="G1389" t="b">
        <v>0</v>
      </c>
      <c r="H1389">
        <v>1.9</v>
      </c>
      <c r="I1389" t="s">
        <v>159</v>
      </c>
      <c r="J1389">
        <v>0.90800000000000003</v>
      </c>
      <c r="K1389">
        <v>3.52</v>
      </c>
      <c r="L1389">
        <v>7.03</v>
      </c>
      <c r="M1389">
        <v>13</v>
      </c>
      <c r="N1389">
        <v>21.1</v>
      </c>
      <c r="O1389">
        <v>15.12</v>
      </c>
      <c r="P1389">
        <v>84.66</v>
      </c>
      <c r="Q1389">
        <v>0.23</v>
      </c>
    </row>
    <row r="1390" spans="1:17">
      <c r="A1390">
        <v>2761.7</v>
      </c>
      <c r="B1390">
        <v>2683.5</v>
      </c>
      <c r="C1390">
        <v>1865</v>
      </c>
      <c r="D1390">
        <v>1714</v>
      </c>
      <c r="E1390" t="s">
        <v>66</v>
      </c>
      <c r="F1390" t="b">
        <v>0</v>
      </c>
      <c r="G1390" t="b">
        <v>0</v>
      </c>
      <c r="H1390">
        <v>1.3</v>
      </c>
      <c r="I1390" t="s">
        <v>159</v>
      </c>
      <c r="J1390">
        <v>0.90800000000000003</v>
      </c>
      <c r="K1390">
        <v>3.52</v>
      </c>
      <c r="L1390">
        <v>7.03</v>
      </c>
      <c r="M1390">
        <v>13</v>
      </c>
      <c r="N1390">
        <v>21.1</v>
      </c>
      <c r="O1390">
        <v>15.12</v>
      </c>
      <c r="P1390">
        <v>84.66</v>
      </c>
      <c r="Q1390">
        <v>0.23</v>
      </c>
    </row>
    <row r="1391" spans="1:17">
      <c r="A1391">
        <v>2763.1</v>
      </c>
      <c r="B1391">
        <v>2684.9</v>
      </c>
      <c r="C1391">
        <v>1866</v>
      </c>
      <c r="D1391">
        <v>1715</v>
      </c>
      <c r="E1391" t="s">
        <v>66</v>
      </c>
      <c r="F1391" t="b">
        <v>0</v>
      </c>
      <c r="G1391" t="b">
        <v>0</v>
      </c>
      <c r="H1391">
        <v>1.4</v>
      </c>
      <c r="I1391" t="s">
        <v>159</v>
      </c>
      <c r="J1391">
        <v>0.90800000000000003</v>
      </c>
      <c r="K1391">
        <v>3.52</v>
      </c>
      <c r="L1391">
        <v>7.03</v>
      </c>
      <c r="M1391">
        <v>13</v>
      </c>
      <c r="N1391">
        <v>21.1</v>
      </c>
      <c r="O1391">
        <v>15.12</v>
      </c>
      <c r="P1391">
        <v>84.66</v>
      </c>
      <c r="Q1391">
        <v>0.23</v>
      </c>
    </row>
    <row r="1392" spans="1:17">
      <c r="A1392">
        <v>2764.6</v>
      </c>
      <c r="B1392">
        <v>2686.4</v>
      </c>
      <c r="C1392">
        <v>1867</v>
      </c>
      <c r="D1392">
        <v>1716</v>
      </c>
      <c r="E1392" t="s">
        <v>66</v>
      </c>
      <c r="F1392" t="b">
        <v>0</v>
      </c>
      <c r="G1392" t="b">
        <v>0</v>
      </c>
      <c r="H1392">
        <v>1.5</v>
      </c>
      <c r="I1392" t="s">
        <v>159</v>
      </c>
      <c r="J1392">
        <v>0.90800000000000003</v>
      </c>
      <c r="K1392">
        <v>3.52</v>
      </c>
      <c r="L1392">
        <v>7.03</v>
      </c>
      <c r="M1392">
        <v>13</v>
      </c>
      <c r="N1392">
        <v>21.1</v>
      </c>
      <c r="O1392">
        <v>15.12</v>
      </c>
      <c r="P1392">
        <v>84.66</v>
      </c>
      <c r="Q1392">
        <v>0.23</v>
      </c>
    </row>
    <row r="1393" spans="1:17">
      <c r="A1393">
        <v>2765.6</v>
      </c>
      <c r="B1393">
        <v>2687.4</v>
      </c>
      <c r="C1393">
        <v>1868</v>
      </c>
      <c r="D1393">
        <v>1717</v>
      </c>
      <c r="E1393" t="s">
        <v>66</v>
      </c>
      <c r="F1393" t="b">
        <v>0</v>
      </c>
      <c r="G1393" t="b">
        <v>0</v>
      </c>
      <c r="H1393">
        <v>1</v>
      </c>
      <c r="I1393" t="s">
        <v>159</v>
      </c>
      <c r="J1393">
        <v>0.90800000000000003</v>
      </c>
      <c r="K1393">
        <v>3.52</v>
      </c>
      <c r="L1393">
        <v>7.03</v>
      </c>
      <c r="M1393">
        <v>13</v>
      </c>
      <c r="N1393">
        <v>21.1</v>
      </c>
      <c r="O1393">
        <v>15.12</v>
      </c>
      <c r="P1393">
        <v>84.66</v>
      </c>
      <c r="Q1393">
        <v>0.23</v>
      </c>
    </row>
    <row r="1394" spans="1:17">
      <c r="A1394">
        <v>2766.9</v>
      </c>
      <c r="B1394">
        <v>2688.7</v>
      </c>
      <c r="C1394">
        <v>1868</v>
      </c>
      <c r="D1394">
        <v>1718</v>
      </c>
      <c r="E1394" t="s">
        <v>66</v>
      </c>
      <c r="F1394" t="b">
        <v>0</v>
      </c>
      <c r="G1394" t="b">
        <v>0</v>
      </c>
      <c r="H1394">
        <v>1.3</v>
      </c>
      <c r="I1394" t="s">
        <v>159</v>
      </c>
      <c r="J1394">
        <v>0.90800000000000003</v>
      </c>
      <c r="K1394">
        <v>3.52</v>
      </c>
      <c r="L1394">
        <v>7.03</v>
      </c>
      <c r="M1394">
        <v>13</v>
      </c>
      <c r="N1394">
        <v>21.1</v>
      </c>
      <c r="O1394">
        <v>15.12</v>
      </c>
      <c r="P1394">
        <v>84.66</v>
      </c>
      <c r="Q1394">
        <v>0.23</v>
      </c>
    </row>
    <row r="1395" spans="1:17">
      <c r="A1395">
        <v>2768.8</v>
      </c>
      <c r="B1395">
        <v>2690.6</v>
      </c>
      <c r="C1395">
        <v>1870</v>
      </c>
      <c r="D1395">
        <v>1719</v>
      </c>
      <c r="E1395" t="s">
        <v>66</v>
      </c>
      <c r="F1395" t="b">
        <v>0</v>
      </c>
      <c r="G1395" t="b">
        <v>0</v>
      </c>
      <c r="H1395">
        <v>1.9</v>
      </c>
      <c r="I1395" t="s">
        <v>159</v>
      </c>
      <c r="J1395">
        <v>0.90800000000000003</v>
      </c>
      <c r="K1395">
        <v>3.52</v>
      </c>
      <c r="L1395">
        <v>7.03</v>
      </c>
      <c r="M1395">
        <v>13</v>
      </c>
      <c r="N1395">
        <v>21.1</v>
      </c>
      <c r="O1395">
        <v>15.12</v>
      </c>
      <c r="P1395">
        <v>84.66</v>
      </c>
      <c r="Q1395">
        <v>0.23</v>
      </c>
    </row>
    <row r="1396" spans="1:17">
      <c r="A1396">
        <v>2770.2</v>
      </c>
      <c r="B1396">
        <v>2692</v>
      </c>
      <c r="C1396">
        <v>1871</v>
      </c>
      <c r="D1396">
        <v>1720</v>
      </c>
      <c r="E1396" t="s">
        <v>66</v>
      </c>
      <c r="F1396" t="b">
        <v>0</v>
      </c>
      <c r="G1396" t="b">
        <v>0</v>
      </c>
      <c r="H1396">
        <v>1.4</v>
      </c>
      <c r="I1396">
        <v>5.056</v>
      </c>
      <c r="J1396">
        <v>0.90800000000000003</v>
      </c>
      <c r="K1396">
        <v>3.52</v>
      </c>
      <c r="L1396">
        <v>7.03</v>
      </c>
      <c r="M1396">
        <v>13</v>
      </c>
      <c r="N1396">
        <v>21.1</v>
      </c>
      <c r="O1396">
        <v>15.12</v>
      </c>
      <c r="P1396">
        <v>84.66</v>
      </c>
      <c r="Q1396">
        <v>0.23</v>
      </c>
    </row>
    <row r="1397" spans="1:17">
      <c r="A1397">
        <v>2771.7</v>
      </c>
      <c r="B1397">
        <v>2693.5</v>
      </c>
      <c r="C1397">
        <v>1872</v>
      </c>
      <c r="D1397">
        <v>1721</v>
      </c>
      <c r="E1397" t="s">
        <v>66</v>
      </c>
      <c r="F1397" t="b">
        <v>0</v>
      </c>
      <c r="G1397" t="b">
        <v>0</v>
      </c>
      <c r="H1397">
        <v>1.5</v>
      </c>
      <c r="I1397">
        <v>5.056</v>
      </c>
      <c r="J1397">
        <v>0.90800000000000003</v>
      </c>
      <c r="K1397">
        <v>3.52</v>
      </c>
      <c r="L1397">
        <v>7.03</v>
      </c>
      <c r="M1397">
        <v>13</v>
      </c>
      <c r="N1397">
        <v>21.1</v>
      </c>
      <c r="O1397">
        <v>15.12</v>
      </c>
      <c r="P1397">
        <v>84.66</v>
      </c>
      <c r="Q1397">
        <v>0.23</v>
      </c>
    </row>
    <row r="1398" spans="1:17">
      <c r="A1398">
        <v>2772.7</v>
      </c>
      <c r="B1398">
        <v>2694.5</v>
      </c>
      <c r="C1398">
        <v>1873</v>
      </c>
      <c r="D1398">
        <v>1722</v>
      </c>
      <c r="E1398" t="s">
        <v>66</v>
      </c>
      <c r="F1398" t="b">
        <v>0</v>
      </c>
      <c r="G1398" t="b">
        <v>0</v>
      </c>
      <c r="H1398">
        <v>1</v>
      </c>
      <c r="I1398">
        <v>5.056</v>
      </c>
      <c r="J1398">
        <v>0.90800000000000003</v>
      </c>
      <c r="K1398">
        <v>3.52</v>
      </c>
      <c r="L1398">
        <v>7.03</v>
      </c>
      <c r="M1398">
        <v>13</v>
      </c>
      <c r="N1398">
        <v>21.1</v>
      </c>
      <c r="O1398">
        <v>15.12</v>
      </c>
      <c r="P1398">
        <v>84.66</v>
      </c>
      <c r="Q1398">
        <v>0.23</v>
      </c>
    </row>
    <row r="1399" spans="1:17">
      <c r="A1399">
        <v>2773.9</v>
      </c>
      <c r="B1399">
        <v>2695.7</v>
      </c>
      <c r="C1399">
        <v>1873</v>
      </c>
      <c r="D1399">
        <v>1723</v>
      </c>
      <c r="E1399" t="s">
        <v>66</v>
      </c>
      <c r="F1399" t="b">
        <v>0</v>
      </c>
      <c r="G1399" t="b">
        <v>0</v>
      </c>
      <c r="H1399">
        <v>1.2</v>
      </c>
      <c r="I1399">
        <v>5.056</v>
      </c>
      <c r="J1399">
        <v>0.90800000000000003</v>
      </c>
      <c r="K1399">
        <v>3.52</v>
      </c>
      <c r="L1399">
        <v>7.03</v>
      </c>
      <c r="M1399">
        <v>13</v>
      </c>
      <c r="N1399">
        <v>21.1</v>
      </c>
      <c r="O1399">
        <v>15.12</v>
      </c>
      <c r="P1399">
        <v>84.66</v>
      </c>
      <c r="Q1399">
        <v>0.23</v>
      </c>
    </row>
    <row r="1400" spans="1:17">
      <c r="A1400">
        <v>2775.2</v>
      </c>
      <c r="B1400">
        <v>2697</v>
      </c>
      <c r="C1400">
        <v>1874</v>
      </c>
      <c r="D1400">
        <v>1724</v>
      </c>
      <c r="E1400" t="s">
        <v>66</v>
      </c>
      <c r="F1400" t="b">
        <v>0</v>
      </c>
      <c r="G1400" t="b">
        <v>0</v>
      </c>
      <c r="H1400">
        <v>1.3</v>
      </c>
      <c r="I1400">
        <v>5.056</v>
      </c>
      <c r="J1400">
        <v>0.90800000000000003</v>
      </c>
      <c r="K1400">
        <v>3.52</v>
      </c>
      <c r="L1400">
        <v>7.03</v>
      </c>
      <c r="M1400">
        <v>13</v>
      </c>
      <c r="N1400">
        <v>21.1</v>
      </c>
      <c r="O1400">
        <v>15.12</v>
      </c>
      <c r="P1400">
        <v>84.66</v>
      </c>
      <c r="Q1400">
        <v>0.23</v>
      </c>
    </row>
    <row r="1401" spans="1:17">
      <c r="A1401">
        <v>2777.6</v>
      </c>
      <c r="B1401">
        <v>2699.4</v>
      </c>
      <c r="C1401">
        <v>1876</v>
      </c>
      <c r="D1401">
        <v>1725</v>
      </c>
      <c r="E1401" t="s">
        <v>66</v>
      </c>
      <c r="F1401" t="b">
        <v>0</v>
      </c>
      <c r="G1401" t="b">
        <v>0</v>
      </c>
      <c r="H1401">
        <v>2.4</v>
      </c>
      <c r="I1401">
        <v>5.056</v>
      </c>
      <c r="J1401" t="s">
        <v>159</v>
      </c>
      <c r="K1401" t="s">
        <v>159</v>
      </c>
      <c r="L1401" t="s">
        <v>159</v>
      </c>
      <c r="M1401" t="s">
        <v>159</v>
      </c>
      <c r="N1401" t="s">
        <v>159</v>
      </c>
      <c r="O1401" t="s">
        <v>159</v>
      </c>
      <c r="P1401" t="s">
        <v>159</v>
      </c>
      <c r="Q1401" t="s">
        <v>159</v>
      </c>
    </row>
    <row r="1402" spans="1:17">
      <c r="A1402">
        <v>2780.2</v>
      </c>
      <c r="B1402">
        <v>2702</v>
      </c>
      <c r="C1402">
        <v>1878</v>
      </c>
      <c r="D1402">
        <v>1726</v>
      </c>
      <c r="E1402" t="s">
        <v>66</v>
      </c>
      <c r="F1402" t="b">
        <v>0</v>
      </c>
      <c r="G1402" t="b">
        <v>0</v>
      </c>
      <c r="H1402">
        <v>2.6</v>
      </c>
      <c r="I1402">
        <v>5.056</v>
      </c>
      <c r="J1402" t="s">
        <v>159</v>
      </c>
      <c r="K1402" t="s">
        <v>159</v>
      </c>
      <c r="L1402" t="s">
        <v>159</v>
      </c>
      <c r="M1402" t="s">
        <v>159</v>
      </c>
      <c r="N1402" t="s">
        <v>159</v>
      </c>
      <c r="O1402" t="s">
        <v>159</v>
      </c>
      <c r="P1402" t="s">
        <v>159</v>
      </c>
      <c r="Q1402" t="s">
        <v>159</v>
      </c>
    </row>
    <row r="1403" spans="1:17">
      <c r="A1403">
        <v>2784.3</v>
      </c>
      <c r="B1403">
        <v>2706</v>
      </c>
      <c r="C1403">
        <v>1881</v>
      </c>
      <c r="D1403">
        <v>1728</v>
      </c>
      <c r="E1403" t="s">
        <v>66</v>
      </c>
      <c r="F1403" t="b">
        <v>0</v>
      </c>
      <c r="G1403" t="b">
        <v>1</v>
      </c>
      <c r="H1403">
        <v>4</v>
      </c>
      <c r="I1403">
        <v>5.056</v>
      </c>
      <c r="J1403" t="s">
        <v>159</v>
      </c>
      <c r="K1403" t="s">
        <v>159</v>
      </c>
      <c r="L1403" t="s">
        <v>159</v>
      </c>
      <c r="M1403" t="s">
        <v>159</v>
      </c>
      <c r="N1403" t="s">
        <v>159</v>
      </c>
      <c r="O1403" t="s">
        <v>159</v>
      </c>
      <c r="P1403" t="s">
        <v>159</v>
      </c>
      <c r="Q1403" t="s">
        <v>159</v>
      </c>
    </row>
    <row r="1404" spans="1:17">
      <c r="A1404">
        <v>2786.3</v>
      </c>
      <c r="B1404">
        <v>2708.1</v>
      </c>
      <c r="C1404">
        <v>1882</v>
      </c>
      <c r="D1404">
        <v>1729</v>
      </c>
      <c r="E1404" t="s">
        <v>66</v>
      </c>
      <c r="F1404" t="b">
        <v>0</v>
      </c>
      <c r="G1404" t="b">
        <v>0</v>
      </c>
      <c r="H1404">
        <v>2.1</v>
      </c>
      <c r="I1404">
        <v>5.056</v>
      </c>
      <c r="J1404" t="s">
        <v>159</v>
      </c>
      <c r="K1404" t="s">
        <v>159</v>
      </c>
      <c r="L1404" t="s">
        <v>159</v>
      </c>
      <c r="M1404" t="s">
        <v>159</v>
      </c>
      <c r="N1404" t="s">
        <v>159</v>
      </c>
      <c r="O1404" t="s">
        <v>159</v>
      </c>
      <c r="P1404" t="s">
        <v>159</v>
      </c>
      <c r="Q1404" t="s">
        <v>159</v>
      </c>
    </row>
    <row r="1405" spans="1:17">
      <c r="A1405">
        <v>2787.9</v>
      </c>
      <c r="B1405">
        <v>2709.7</v>
      </c>
      <c r="C1405">
        <v>1884</v>
      </c>
      <c r="D1405">
        <v>1730</v>
      </c>
      <c r="E1405" t="s">
        <v>66</v>
      </c>
      <c r="F1405" t="b">
        <v>0</v>
      </c>
      <c r="G1405" t="b">
        <v>0</v>
      </c>
      <c r="H1405">
        <v>1.6</v>
      </c>
      <c r="I1405">
        <v>5.056</v>
      </c>
      <c r="J1405" t="s">
        <v>159</v>
      </c>
      <c r="K1405" t="s">
        <v>159</v>
      </c>
      <c r="L1405" t="s">
        <v>159</v>
      </c>
      <c r="M1405" t="s">
        <v>159</v>
      </c>
      <c r="N1405" t="s">
        <v>159</v>
      </c>
      <c r="O1405" t="s">
        <v>159</v>
      </c>
      <c r="P1405" t="s">
        <v>159</v>
      </c>
      <c r="Q1405" t="s">
        <v>159</v>
      </c>
    </row>
    <row r="1406" spans="1:17">
      <c r="A1406">
        <v>2789</v>
      </c>
      <c r="B1406">
        <v>2710.8</v>
      </c>
      <c r="C1406">
        <v>1884</v>
      </c>
      <c r="D1406">
        <v>1731</v>
      </c>
      <c r="E1406" t="s">
        <v>66</v>
      </c>
      <c r="F1406" t="b">
        <v>0</v>
      </c>
      <c r="G1406" t="b">
        <v>0</v>
      </c>
      <c r="H1406">
        <v>1.1000000000000001</v>
      </c>
      <c r="I1406">
        <v>5.056</v>
      </c>
      <c r="J1406" t="s">
        <v>159</v>
      </c>
      <c r="K1406" t="s">
        <v>159</v>
      </c>
      <c r="L1406" t="s">
        <v>159</v>
      </c>
      <c r="M1406" t="s">
        <v>159</v>
      </c>
      <c r="N1406" t="s">
        <v>159</v>
      </c>
      <c r="O1406" t="s">
        <v>159</v>
      </c>
      <c r="P1406" t="s">
        <v>159</v>
      </c>
      <c r="Q1406" t="s">
        <v>159</v>
      </c>
    </row>
    <row r="1407" spans="1:17">
      <c r="A1407">
        <v>2790.5</v>
      </c>
      <c r="B1407">
        <v>2712.2</v>
      </c>
      <c r="C1407">
        <v>1885</v>
      </c>
      <c r="D1407">
        <v>1732</v>
      </c>
      <c r="E1407" t="s">
        <v>66</v>
      </c>
      <c r="F1407" t="b">
        <v>0</v>
      </c>
      <c r="G1407" t="b">
        <v>0</v>
      </c>
      <c r="H1407">
        <v>1.4</v>
      </c>
      <c r="I1407">
        <v>5.056</v>
      </c>
      <c r="J1407" t="s">
        <v>159</v>
      </c>
      <c r="K1407" t="s">
        <v>159</v>
      </c>
      <c r="L1407" t="s">
        <v>159</v>
      </c>
      <c r="M1407" t="s">
        <v>159</v>
      </c>
      <c r="N1407" t="s">
        <v>159</v>
      </c>
      <c r="O1407" t="s">
        <v>159</v>
      </c>
      <c r="P1407" t="s">
        <v>159</v>
      </c>
      <c r="Q1407" t="s">
        <v>159</v>
      </c>
    </row>
    <row r="1408" spans="1:17">
      <c r="A1408">
        <v>2792.1</v>
      </c>
      <c r="B1408">
        <v>2713.9</v>
      </c>
      <c r="C1408">
        <v>1887</v>
      </c>
      <c r="D1408">
        <v>1733</v>
      </c>
      <c r="E1408" t="s">
        <v>66</v>
      </c>
      <c r="F1408" t="b">
        <v>0</v>
      </c>
      <c r="G1408" t="b">
        <v>0</v>
      </c>
      <c r="H1408">
        <v>1.6</v>
      </c>
      <c r="I1408" t="s">
        <v>159</v>
      </c>
      <c r="J1408" t="s">
        <v>159</v>
      </c>
      <c r="K1408" t="s">
        <v>159</v>
      </c>
      <c r="L1408" t="s">
        <v>159</v>
      </c>
      <c r="M1408" t="s">
        <v>159</v>
      </c>
      <c r="N1408" t="s">
        <v>159</v>
      </c>
      <c r="O1408" t="s">
        <v>159</v>
      </c>
      <c r="P1408" t="s">
        <v>159</v>
      </c>
      <c r="Q1408" t="s">
        <v>159</v>
      </c>
    </row>
    <row r="1409" spans="1:17">
      <c r="A1409">
        <v>2794.5</v>
      </c>
      <c r="B1409">
        <v>2716.3</v>
      </c>
      <c r="C1409">
        <v>1888</v>
      </c>
      <c r="D1409">
        <v>1734</v>
      </c>
      <c r="E1409" t="s">
        <v>66</v>
      </c>
      <c r="F1409" t="b">
        <v>0</v>
      </c>
      <c r="G1409" t="b">
        <v>0</v>
      </c>
      <c r="H1409">
        <v>2.5</v>
      </c>
      <c r="I1409" t="s">
        <v>159</v>
      </c>
      <c r="J1409" t="s">
        <v>159</v>
      </c>
      <c r="K1409" t="s">
        <v>159</v>
      </c>
      <c r="L1409" t="s">
        <v>159</v>
      </c>
      <c r="M1409" t="s">
        <v>159</v>
      </c>
      <c r="N1409" t="s">
        <v>159</v>
      </c>
      <c r="O1409" t="s">
        <v>159</v>
      </c>
      <c r="P1409" t="s">
        <v>159</v>
      </c>
      <c r="Q1409" t="s">
        <v>159</v>
      </c>
    </row>
    <row r="1410" spans="1:17">
      <c r="A1410">
        <v>2797.4</v>
      </c>
      <c r="B1410">
        <v>2719.2</v>
      </c>
      <c r="C1410">
        <v>1890</v>
      </c>
      <c r="D1410">
        <v>1735</v>
      </c>
      <c r="E1410" t="s">
        <v>66</v>
      </c>
      <c r="F1410" t="b">
        <v>0</v>
      </c>
      <c r="G1410" t="b">
        <v>0</v>
      </c>
      <c r="H1410">
        <v>2.8</v>
      </c>
      <c r="I1410" t="s">
        <v>159</v>
      </c>
      <c r="J1410" t="s">
        <v>159</v>
      </c>
      <c r="K1410" t="s">
        <v>159</v>
      </c>
      <c r="L1410" t="s">
        <v>159</v>
      </c>
      <c r="M1410" t="s">
        <v>159</v>
      </c>
      <c r="N1410" t="s">
        <v>159</v>
      </c>
      <c r="O1410" t="s">
        <v>159</v>
      </c>
      <c r="P1410" t="s">
        <v>159</v>
      </c>
      <c r="Q1410" t="s">
        <v>159</v>
      </c>
    </row>
    <row r="1411" spans="1:17">
      <c r="A1411">
        <v>2800.4</v>
      </c>
      <c r="B1411">
        <v>2722.2</v>
      </c>
      <c r="C1411">
        <v>1893</v>
      </c>
      <c r="D1411">
        <v>1736</v>
      </c>
      <c r="E1411" t="s">
        <v>66</v>
      </c>
      <c r="F1411" t="b">
        <v>0</v>
      </c>
      <c r="G1411" t="b">
        <v>0</v>
      </c>
      <c r="H1411">
        <v>3</v>
      </c>
      <c r="I1411" t="s">
        <v>159</v>
      </c>
      <c r="J1411" t="s">
        <v>159</v>
      </c>
      <c r="K1411" t="s">
        <v>159</v>
      </c>
      <c r="L1411" t="s">
        <v>159</v>
      </c>
      <c r="M1411" t="s">
        <v>159</v>
      </c>
      <c r="N1411" t="s">
        <v>159</v>
      </c>
      <c r="O1411" t="s">
        <v>159</v>
      </c>
      <c r="P1411" t="s">
        <v>159</v>
      </c>
      <c r="Q1411" t="s">
        <v>159</v>
      </c>
    </row>
    <row r="1412" spans="1:17">
      <c r="A1412">
        <v>2802.5</v>
      </c>
      <c r="B1412">
        <v>2724.3</v>
      </c>
      <c r="C1412">
        <v>1894</v>
      </c>
      <c r="D1412">
        <v>1737</v>
      </c>
      <c r="E1412" t="s">
        <v>66</v>
      </c>
      <c r="F1412" t="b">
        <v>0</v>
      </c>
      <c r="G1412" t="b">
        <v>0</v>
      </c>
      <c r="H1412">
        <v>2.1</v>
      </c>
      <c r="I1412" t="s">
        <v>159</v>
      </c>
      <c r="J1412" t="s">
        <v>159</v>
      </c>
      <c r="K1412" t="s">
        <v>159</v>
      </c>
      <c r="L1412" t="s">
        <v>159</v>
      </c>
      <c r="M1412" t="s">
        <v>159</v>
      </c>
      <c r="N1412" t="s">
        <v>159</v>
      </c>
      <c r="O1412" t="s">
        <v>159</v>
      </c>
      <c r="P1412" t="s">
        <v>159</v>
      </c>
      <c r="Q1412" t="s">
        <v>159</v>
      </c>
    </row>
    <row r="1413" spans="1:17">
      <c r="A1413">
        <v>2803.8</v>
      </c>
      <c r="B1413">
        <v>2725.6</v>
      </c>
      <c r="C1413">
        <v>1895</v>
      </c>
      <c r="D1413">
        <v>1738</v>
      </c>
      <c r="E1413" t="s">
        <v>66</v>
      </c>
      <c r="F1413" t="b">
        <v>0</v>
      </c>
      <c r="G1413" t="b">
        <v>0</v>
      </c>
      <c r="H1413">
        <v>1.3</v>
      </c>
      <c r="I1413" t="s">
        <v>159</v>
      </c>
      <c r="J1413" t="s">
        <v>159</v>
      </c>
      <c r="K1413" t="s">
        <v>159</v>
      </c>
      <c r="L1413" t="s">
        <v>159</v>
      </c>
      <c r="M1413" t="s">
        <v>159</v>
      </c>
      <c r="N1413" t="s">
        <v>159</v>
      </c>
      <c r="O1413" t="s">
        <v>159</v>
      </c>
      <c r="P1413" t="s">
        <v>159</v>
      </c>
      <c r="Q1413" t="s">
        <v>159</v>
      </c>
    </row>
    <row r="1414" spans="1:17">
      <c r="A1414">
        <v>2804.9</v>
      </c>
      <c r="B1414">
        <v>2726.6</v>
      </c>
      <c r="C1414">
        <v>1896</v>
      </c>
      <c r="D1414">
        <v>1739</v>
      </c>
      <c r="E1414" t="s">
        <v>66</v>
      </c>
      <c r="F1414" t="b">
        <v>0</v>
      </c>
      <c r="G1414" t="b">
        <v>0</v>
      </c>
      <c r="H1414">
        <v>1.1000000000000001</v>
      </c>
      <c r="I1414" t="s">
        <v>159</v>
      </c>
      <c r="J1414" t="s">
        <v>159</v>
      </c>
      <c r="K1414" t="s">
        <v>159</v>
      </c>
      <c r="L1414" t="s">
        <v>159</v>
      </c>
      <c r="M1414" t="s">
        <v>159</v>
      </c>
      <c r="N1414" t="s">
        <v>159</v>
      </c>
      <c r="O1414" t="s">
        <v>159</v>
      </c>
      <c r="P1414" t="s">
        <v>159</v>
      </c>
      <c r="Q1414" t="s">
        <v>159</v>
      </c>
    </row>
    <row r="1415" spans="1:17">
      <c r="A1415">
        <v>2805.9</v>
      </c>
      <c r="B1415">
        <v>2727.6</v>
      </c>
      <c r="C1415">
        <v>1896</v>
      </c>
      <c r="D1415">
        <v>1740</v>
      </c>
      <c r="E1415" t="s">
        <v>66</v>
      </c>
      <c r="F1415" t="b">
        <v>0</v>
      </c>
      <c r="G1415" t="b">
        <v>0</v>
      </c>
      <c r="H1415">
        <v>1</v>
      </c>
      <c r="I1415" t="s">
        <v>159</v>
      </c>
      <c r="J1415" t="s">
        <v>159</v>
      </c>
      <c r="K1415" t="s">
        <v>159</v>
      </c>
      <c r="L1415" t="s">
        <v>159</v>
      </c>
      <c r="M1415" t="s">
        <v>159</v>
      </c>
      <c r="N1415" t="s">
        <v>159</v>
      </c>
      <c r="O1415" t="s">
        <v>159</v>
      </c>
      <c r="P1415" t="s">
        <v>159</v>
      </c>
      <c r="Q1415" t="s">
        <v>159</v>
      </c>
    </row>
    <row r="1416" spans="1:17">
      <c r="A1416">
        <v>2807.3</v>
      </c>
      <c r="B1416">
        <v>2729.1</v>
      </c>
      <c r="C1416">
        <v>1898</v>
      </c>
      <c r="D1416">
        <v>1741</v>
      </c>
      <c r="E1416" t="s">
        <v>66</v>
      </c>
      <c r="F1416" t="b">
        <v>0</v>
      </c>
      <c r="G1416" t="b">
        <v>0</v>
      </c>
      <c r="H1416">
        <v>1.4</v>
      </c>
      <c r="I1416" t="s">
        <v>159</v>
      </c>
      <c r="J1416" t="s">
        <v>159</v>
      </c>
      <c r="K1416" t="s">
        <v>159</v>
      </c>
      <c r="L1416" t="s">
        <v>159</v>
      </c>
      <c r="M1416" t="s">
        <v>159</v>
      </c>
      <c r="N1416" t="s">
        <v>159</v>
      </c>
      <c r="O1416" t="s">
        <v>159</v>
      </c>
      <c r="P1416" t="s">
        <v>159</v>
      </c>
      <c r="Q1416" t="s">
        <v>159</v>
      </c>
    </row>
    <row r="1417" spans="1:17">
      <c r="A1417">
        <v>2808.3</v>
      </c>
      <c r="B1417">
        <v>2730.1</v>
      </c>
      <c r="C1417">
        <v>1898</v>
      </c>
      <c r="D1417">
        <v>1742</v>
      </c>
      <c r="E1417" t="s">
        <v>66</v>
      </c>
      <c r="F1417" t="b">
        <v>0</v>
      </c>
      <c r="G1417" t="b">
        <v>0</v>
      </c>
      <c r="H1417">
        <v>1</v>
      </c>
      <c r="I1417" t="s">
        <v>159</v>
      </c>
      <c r="J1417" t="s">
        <v>159</v>
      </c>
      <c r="K1417" t="s">
        <v>159</v>
      </c>
      <c r="L1417" t="s">
        <v>159</v>
      </c>
      <c r="M1417" t="s">
        <v>159</v>
      </c>
      <c r="N1417" t="s">
        <v>159</v>
      </c>
      <c r="O1417" t="s">
        <v>159</v>
      </c>
      <c r="P1417" t="s">
        <v>159</v>
      </c>
      <c r="Q1417" t="s">
        <v>159</v>
      </c>
    </row>
    <row r="1418" spans="1:17">
      <c r="A1418">
        <v>2809.6</v>
      </c>
      <c r="B1418">
        <v>2731.3</v>
      </c>
      <c r="C1418">
        <v>1899</v>
      </c>
      <c r="D1418">
        <v>1743</v>
      </c>
      <c r="E1418" t="s">
        <v>66</v>
      </c>
      <c r="F1418" t="b">
        <v>0</v>
      </c>
      <c r="G1418" t="b">
        <v>0</v>
      </c>
      <c r="H1418">
        <v>1.2</v>
      </c>
      <c r="I1418" t="s">
        <v>159</v>
      </c>
      <c r="J1418" t="s">
        <v>159</v>
      </c>
      <c r="K1418" t="s">
        <v>159</v>
      </c>
      <c r="L1418" t="s">
        <v>159</v>
      </c>
      <c r="M1418" t="s">
        <v>159</v>
      </c>
      <c r="N1418" t="s">
        <v>159</v>
      </c>
      <c r="O1418" t="s">
        <v>159</v>
      </c>
      <c r="P1418" t="s">
        <v>159</v>
      </c>
      <c r="Q1418" t="s">
        <v>159</v>
      </c>
    </row>
    <row r="1419" spans="1:17">
      <c r="A1419">
        <v>2810.9</v>
      </c>
      <c r="B1419">
        <v>2732.6</v>
      </c>
      <c r="C1419">
        <v>1900</v>
      </c>
      <c r="D1419">
        <v>1744</v>
      </c>
      <c r="E1419" t="s">
        <v>66</v>
      </c>
      <c r="F1419" t="b">
        <v>0</v>
      </c>
      <c r="G1419" t="b">
        <v>0</v>
      </c>
      <c r="H1419">
        <v>1.3</v>
      </c>
      <c r="I1419" t="s">
        <v>159</v>
      </c>
      <c r="J1419" t="s">
        <v>159</v>
      </c>
      <c r="K1419" t="s">
        <v>159</v>
      </c>
      <c r="L1419" t="s">
        <v>159</v>
      </c>
      <c r="M1419" t="s">
        <v>159</v>
      </c>
      <c r="N1419" t="s">
        <v>159</v>
      </c>
      <c r="O1419" t="s">
        <v>159</v>
      </c>
      <c r="P1419" t="s">
        <v>159</v>
      </c>
      <c r="Q1419" t="s">
        <v>159</v>
      </c>
    </row>
    <row r="1420" spans="1:17">
      <c r="A1420">
        <v>2812.7</v>
      </c>
      <c r="B1420">
        <v>2734.5</v>
      </c>
      <c r="C1420">
        <v>1901</v>
      </c>
      <c r="D1420">
        <v>1745</v>
      </c>
      <c r="E1420" t="s">
        <v>66</v>
      </c>
      <c r="F1420" t="b">
        <v>0</v>
      </c>
      <c r="G1420" t="b">
        <v>0</v>
      </c>
      <c r="H1420">
        <v>1.9</v>
      </c>
      <c r="I1420" t="s">
        <v>159</v>
      </c>
      <c r="J1420" t="s">
        <v>159</v>
      </c>
      <c r="K1420" t="s">
        <v>159</v>
      </c>
      <c r="L1420" t="s">
        <v>159</v>
      </c>
      <c r="M1420" t="s">
        <v>159</v>
      </c>
      <c r="N1420" t="s">
        <v>159</v>
      </c>
      <c r="O1420" t="s">
        <v>159</v>
      </c>
      <c r="P1420" t="s">
        <v>159</v>
      </c>
      <c r="Q1420" t="s">
        <v>159</v>
      </c>
    </row>
    <row r="1421" spans="1:17">
      <c r="A1421">
        <v>2814.3</v>
      </c>
      <c r="B1421">
        <v>2736</v>
      </c>
      <c r="C1421">
        <v>1903</v>
      </c>
      <c r="D1421">
        <v>1746</v>
      </c>
      <c r="E1421" t="s">
        <v>66</v>
      </c>
      <c r="F1421" t="b">
        <v>0</v>
      </c>
      <c r="G1421" t="b">
        <v>0</v>
      </c>
      <c r="H1421">
        <v>1.5</v>
      </c>
      <c r="I1421" t="s">
        <v>159</v>
      </c>
      <c r="J1421" t="s">
        <v>159</v>
      </c>
      <c r="K1421" t="s">
        <v>159</v>
      </c>
      <c r="L1421" t="s">
        <v>159</v>
      </c>
      <c r="M1421" t="s">
        <v>159</v>
      </c>
      <c r="N1421" t="s">
        <v>159</v>
      </c>
      <c r="O1421" t="s">
        <v>159</v>
      </c>
      <c r="P1421" t="s">
        <v>159</v>
      </c>
      <c r="Q1421" t="s">
        <v>159</v>
      </c>
    </row>
    <row r="1422" spans="1:17">
      <c r="A1422">
        <v>2815.7</v>
      </c>
      <c r="B1422">
        <v>2737.5</v>
      </c>
      <c r="C1422">
        <v>1904</v>
      </c>
      <c r="D1422">
        <v>1747</v>
      </c>
      <c r="E1422" t="s">
        <v>66</v>
      </c>
      <c r="F1422" t="b">
        <v>0</v>
      </c>
      <c r="G1422" t="b">
        <v>0</v>
      </c>
      <c r="H1422">
        <v>1.4</v>
      </c>
      <c r="I1422" t="s">
        <v>159</v>
      </c>
      <c r="J1422" t="s">
        <v>159</v>
      </c>
      <c r="K1422" t="s">
        <v>159</v>
      </c>
      <c r="L1422" t="s">
        <v>159</v>
      </c>
      <c r="M1422" t="s">
        <v>159</v>
      </c>
      <c r="N1422" t="s">
        <v>159</v>
      </c>
      <c r="O1422" t="s">
        <v>159</v>
      </c>
      <c r="P1422" t="s">
        <v>159</v>
      </c>
      <c r="Q1422" t="s">
        <v>159</v>
      </c>
    </row>
    <row r="1423" spans="1:17">
      <c r="A1423">
        <v>2816.8</v>
      </c>
      <c r="B1423">
        <v>2738.6</v>
      </c>
      <c r="C1423">
        <v>1904</v>
      </c>
      <c r="D1423">
        <v>1748</v>
      </c>
      <c r="E1423" t="s">
        <v>66</v>
      </c>
      <c r="F1423" t="b">
        <v>0</v>
      </c>
      <c r="G1423" t="b">
        <v>0</v>
      </c>
      <c r="H1423">
        <v>1.1000000000000001</v>
      </c>
      <c r="I1423" t="s">
        <v>159</v>
      </c>
      <c r="J1423" t="s">
        <v>159</v>
      </c>
      <c r="K1423" t="s">
        <v>159</v>
      </c>
      <c r="L1423" t="s">
        <v>159</v>
      </c>
      <c r="M1423" t="s">
        <v>159</v>
      </c>
      <c r="N1423" t="s">
        <v>159</v>
      </c>
      <c r="O1423" t="s">
        <v>159</v>
      </c>
      <c r="P1423" t="s">
        <v>159</v>
      </c>
      <c r="Q1423" t="s">
        <v>159</v>
      </c>
    </row>
    <row r="1424" spans="1:17">
      <c r="A1424">
        <v>2818.2</v>
      </c>
      <c r="B1424">
        <v>2740</v>
      </c>
      <c r="C1424">
        <v>1905</v>
      </c>
      <c r="D1424">
        <v>1749</v>
      </c>
      <c r="E1424" t="s">
        <v>66</v>
      </c>
      <c r="F1424" t="b">
        <v>0</v>
      </c>
      <c r="G1424" t="b">
        <v>0</v>
      </c>
      <c r="H1424">
        <v>1.4</v>
      </c>
      <c r="I1424" t="s">
        <v>159</v>
      </c>
      <c r="J1424" t="s">
        <v>159</v>
      </c>
      <c r="K1424" t="s">
        <v>159</v>
      </c>
      <c r="L1424" t="s">
        <v>159</v>
      </c>
      <c r="M1424" t="s">
        <v>159</v>
      </c>
      <c r="N1424" t="s">
        <v>159</v>
      </c>
      <c r="O1424" t="s">
        <v>159</v>
      </c>
      <c r="P1424" t="s">
        <v>159</v>
      </c>
      <c r="Q1424" t="s">
        <v>159</v>
      </c>
    </row>
    <row r="1425" spans="1:17">
      <c r="A1425">
        <v>2819.8</v>
      </c>
      <c r="B1425">
        <v>2741.6</v>
      </c>
      <c r="C1425">
        <v>1907</v>
      </c>
      <c r="D1425">
        <v>1750</v>
      </c>
      <c r="E1425" t="s">
        <v>66</v>
      </c>
      <c r="F1425" t="b">
        <v>0</v>
      </c>
      <c r="G1425" t="b">
        <v>0</v>
      </c>
      <c r="H1425">
        <v>1.6</v>
      </c>
      <c r="I1425">
        <v>5.3330000000000002</v>
      </c>
      <c r="J1425" t="s">
        <v>159</v>
      </c>
      <c r="K1425" t="s">
        <v>159</v>
      </c>
      <c r="L1425" t="s">
        <v>159</v>
      </c>
      <c r="M1425" t="s">
        <v>159</v>
      </c>
      <c r="N1425" t="s">
        <v>159</v>
      </c>
      <c r="O1425" t="s">
        <v>159</v>
      </c>
      <c r="P1425" t="s">
        <v>159</v>
      </c>
      <c r="Q1425" t="s">
        <v>159</v>
      </c>
    </row>
    <row r="1426" spans="1:17">
      <c r="A1426">
        <v>2821.4</v>
      </c>
      <c r="B1426">
        <v>2743.1</v>
      </c>
      <c r="C1426">
        <v>1908</v>
      </c>
      <c r="D1426">
        <v>1751</v>
      </c>
      <c r="E1426" t="s">
        <v>66</v>
      </c>
      <c r="F1426" t="b">
        <v>0</v>
      </c>
      <c r="G1426" t="b">
        <v>0</v>
      </c>
      <c r="H1426">
        <v>1.6</v>
      </c>
      <c r="I1426">
        <v>5.3330000000000002</v>
      </c>
      <c r="J1426" t="s">
        <v>159</v>
      </c>
      <c r="K1426" t="s">
        <v>159</v>
      </c>
      <c r="L1426" t="s">
        <v>159</v>
      </c>
      <c r="M1426" t="s">
        <v>159</v>
      </c>
      <c r="N1426" t="s">
        <v>159</v>
      </c>
      <c r="O1426" t="s">
        <v>159</v>
      </c>
      <c r="P1426" t="s">
        <v>159</v>
      </c>
      <c r="Q1426" t="s">
        <v>159</v>
      </c>
    </row>
    <row r="1427" spans="1:17">
      <c r="A1427">
        <v>2822.4</v>
      </c>
      <c r="B1427">
        <v>2744.2</v>
      </c>
      <c r="C1427">
        <v>1908</v>
      </c>
      <c r="D1427">
        <v>1752</v>
      </c>
      <c r="E1427" t="s">
        <v>66</v>
      </c>
      <c r="F1427" t="b">
        <v>0</v>
      </c>
      <c r="G1427" t="b">
        <v>0</v>
      </c>
      <c r="H1427">
        <v>1</v>
      </c>
      <c r="I1427">
        <v>5.3330000000000002</v>
      </c>
      <c r="J1427" t="s">
        <v>159</v>
      </c>
      <c r="K1427" t="s">
        <v>159</v>
      </c>
      <c r="L1427" t="s">
        <v>159</v>
      </c>
      <c r="M1427" t="s">
        <v>159</v>
      </c>
      <c r="N1427" t="s">
        <v>159</v>
      </c>
      <c r="O1427" t="s">
        <v>159</v>
      </c>
      <c r="P1427" t="s">
        <v>159</v>
      </c>
      <c r="Q1427" t="s">
        <v>159</v>
      </c>
    </row>
    <row r="1428" spans="1:17">
      <c r="A1428">
        <v>2823.5</v>
      </c>
      <c r="B1428">
        <v>2745.2</v>
      </c>
      <c r="C1428">
        <v>1909</v>
      </c>
      <c r="D1428">
        <v>1753</v>
      </c>
      <c r="E1428" t="s">
        <v>66</v>
      </c>
      <c r="F1428" t="b">
        <v>0</v>
      </c>
      <c r="G1428" t="b">
        <v>0</v>
      </c>
      <c r="H1428">
        <v>1.1000000000000001</v>
      </c>
      <c r="I1428">
        <v>5.3330000000000002</v>
      </c>
      <c r="J1428" t="s">
        <v>159</v>
      </c>
      <c r="K1428" t="s">
        <v>159</v>
      </c>
      <c r="L1428" t="s">
        <v>159</v>
      </c>
      <c r="M1428" t="s">
        <v>159</v>
      </c>
      <c r="N1428" t="s">
        <v>159</v>
      </c>
      <c r="O1428" t="s">
        <v>159</v>
      </c>
      <c r="P1428" t="s">
        <v>159</v>
      </c>
      <c r="Q1428" t="s">
        <v>159</v>
      </c>
    </row>
    <row r="1429" spans="1:17">
      <c r="A1429">
        <v>2825.2</v>
      </c>
      <c r="B1429">
        <v>2746.9</v>
      </c>
      <c r="C1429">
        <v>1910</v>
      </c>
      <c r="D1429">
        <v>1754</v>
      </c>
      <c r="E1429" t="s">
        <v>66</v>
      </c>
      <c r="F1429" t="b">
        <v>0</v>
      </c>
      <c r="G1429" t="b">
        <v>0</v>
      </c>
      <c r="H1429">
        <v>1.7</v>
      </c>
      <c r="I1429">
        <v>5.3330000000000002</v>
      </c>
      <c r="J1429" t="s">
        <v>159</v>
      </c>
      <c r="K1429" t="s">
        <v>159</v>
      </c>
      <c r="L1429" t="s">
        <v>159</v>
      </c>
      <c r="M1429" t="s">
        <v>159</v>
      </c>
      <c r="N1429" t="s">
        <v>159</v>
      </c>
      <c r="O1429" t="s">
        <v>159</v>
      </c>
      <c r="P1429" t="s">
        <v>159</v>
      </c>
      <c r="Q1429" t="s">
        <v>159</v>
      </c>
    </row>
    <row r="1430" spans="1:17">
      <c r="A1430">
        <v>2826.7</v>
      </c>
      <c r="B1430">
        <v>2748.4</v>
      </c>
      <c r="C1430">
        <v>1911</v>
      </c>
      <c r="D1430">
        <v>1755</v>
      </c>
      <c r="E1430" t="s">
        <v>66</v>
      </c>
      <c r="F1430" t="b">
        <v>0</v>
      </c>
      <c r="G1430" t="b">
        <v>0</v>
      </c>
      <c r="H1430">
        <v>1.5</v>
      </c>
      <c r="I1430">
        <v>5.3330000000000002</v>
      </c>
      <c r="J1430" t="s">
        <v>159</v>
      </c>
      <c r="K1430" t="s">
        <v>159</v>
      </c>
      <c r="L1430" t="s">
        <v>159</v>
      </c>
      <c r="M1430" t="s">
        <v>159</v>
      </c>
      <c r="N1430" t="s">
        <v>159</v>
      </c>
      <c r="O1430" t="s">
        <v>159</v>
      </c>
      <c r="P1430" t="s">
        <v>159</v>
      </c>
      <c r="Q1430" t="s">
        <v>159</v>
      </c>
    </row>
    <row r="1431" spans="1:17">
      <c r="A1431">
        <v>2828.5</v>
      </c>
      <c r="B1431">
        <v>2750.3</v>
      </c>
      <c r="C1431">
        <v>1913</v>
      </c>
      <c r="D1431">
        <v>1756</v>
      </c>
      <c r="E1431" t="s">
        <v>66</v>
      </c>
      <c r="F1431" t="b">
        <v>0</v>
      </c>
      <c r="G1431" t="b">
        <v>0</v>
      </c>
      <c r="H1431">
        <v>1.9</v>
      </c>
      <c r="I1431">
        <v>5.3330000000000002</v>
      </c>
      <c r="J1431" t="s">
        <v>159</v>
      </c>
      <c r="K1431" t="s">
        <v>159</v>
      </c>
      <c r="L1431" t="s">
        <v>159</v>
      </c>
      <c r="M1431" t="s">
        <v>159</v>
      </c>
      <c r="N1431" t="s">
        <v>159</v>
      </c>
      <c r="O1431" t="s">
        <v>159</v>
      </c>
      <c r="P1431" t="s">
        <v>159</v>
      </c>
      <c r="Q1431" t="s">
        <v>159</v>
      </c>
    </row>
    <row r="1432" spans="1:17">
      <c r="A1432">
        <v>2830.3</v>
      </c>
      <c r="B1432">
        <v>2752.1</v>
      </c>
      <c r="C1432">
        <v>1914</v>
      </c>
      <c r="D1432">
        <v>1757</v>
      </c>
      <c r="E1432" t="s">
        <v>66</v>
      </c>
      <c r="F1432" t="b">
        <v>0</v>
      </c>
      <c r="G1432" t="b">
        <v>0</v>
      </c>
      <c r="H1432">
        <v>1.8</v>
      </c>
      <c r="I1432">
        <v>5.3330000000000002</v>
      </c>
      <c r="J1432" t="s">
        <v>159</v>
      </c>
      <c r="K1432" t="s">
        <v>159</v>
      </c>
      <c r="L1432" t="s">
        <v>159</v>
      </c>
      <c r="M1432" t="s">
        <v>159</v>
      </c>
      <c r="N1432" t="s">
        <v>159</v>
      </c>
      <c r="O1432" t="s">
        <v>159</v>
      </c>
      <c r="P1432" t="s">
        <v>159</v>
      </c>
      <c r="Q1432" t="s">
        <v>159</v>
      </c>
    </row>
    <row r="1433" spans="1:17">
      <c r="A1433">
        <v>2831.9</v>
      </c>
      <c r="B1433">
        <v>2753.7</v>
      </c>
      <c r="C1433">
        <v>1915</v>
      </c>
      <c r="D1433">
        <v>1758</v>
      </c>
      <c r="E1433" t="s">
        <v>66</v>
      </c>
      <c r="F1433" t="b">
        <v>0</v>
      </c>
      <c r="G1433" t="b">
        <v>0</v>
      </c>
      <c r="H1433">
        <v>1.6</v>
      </c>
      <c r="I1433">
        <v>5.3330000000000002</v>
      </c>
      <c r="J1433" t="s">
        <v>159</v>
      </c>
      <c r="K1433" t="s">
        <v>159</v>
      </c>
      <c r="L1433" t="s">
        <v>159</v>
      </c>
      <c r="M1433" t="s">
        <v>159</v>
      </c>
      <c r="N1433" t="s">
        <v>159</v>
      </c>
      <c r="O1433" t="s">
        <v>159</v>
      </c>
      <c r="P1433" t="s">
        <v>159</v>
      </c>
      <c r="Q1433" t="s">
        <v>159</v>
      </c>
    </row>
    <row r="1434" spans="1:17">
      <c r="A1434">
        <v>2833</v>
      </c>
      <c r="B1434">
        <v>2754.8</v>
      </c>
      <c r="C1434">
        <v>1916</v>
      </c>
      <c r="D1434">
        <v>1759</v>
      </c>
      <c r="E1434" t="s">
        <v>66</v>
      </c>
      <c r="F1434" t="b">
        <v>0</v>
      </c>
      <c r="G1434" t="b">
        <v>0</v>
      </c>
      <c r="H1434">
        <v>1.1000000000000001</v>
      </c>
      <c r="I1434">
        <v>5.3330000000000002</v>
      </c>
      <c r="J1434" t="s">
        <v>159</v>
      </c>
      <c r="K1434" t="s">
        <v>159</v>
      </c>
      <c r="L1434" t="s">
        <v>159</v>
      </c>
      <c r="M1434" t="s">
        <v>159</v>
      </c>
      <c r="N1434" t="s">
        <v>159</v>
      </c>
      <c r="O1434" t="s">
        <v>159</v>
      </c>
      <c r="P1434" t="s">
        <v>159</v>
      </c>
      <c r="Q1434" t="s">
        <v>159</v>
      </c>
    </row>
    <row r="1435" spans="1:17">
      <c r="A1435">
        <v>2834.2</v>
      </c>
      <c r="B1435">
        <v>2755.9</v>
      </c>
      <c r="C1435">
        <v>1917</v>
      </c>
      <c r="D1435">
        <v>1760</v>
      </c>
      <c r="E1435" t="s">
        <v>66</v>
      </c>
      <c r="F1435" t="b">
        <v>0</v>
      </c>
      <c r="G1435" t="b">
        <v>0</v>
      </c>
      <c r="H1435">
        <v>1.1000000000000001</v>
      </c>
      <c r="I1435">
        <v>5.3330000000000002</v>
      </c>
      <c r="J1435" t="s">
        <v>159</v>
      </c>
      <c r="K1435" t="s">
        <v>159</v>
      </c>
      <c r="L1435" t="s">
        <v>159</v>
      </c>
      <c r="M1435" t="s">
        <v>159</v>
      </c>
      <c r="N1435" t="s">
        <v>159</v>
      </c>
      <c r="O1435" t="s">
        <v>159</v>
      </c>
      <c r="P1435" t="s">
        <v>159</v>
      </c>
      <c r="Q1435" t="s">
        <v>159</v>
      </c>
    </row>
    <row r="1436" spans="1:17">
      <c r="A1436">
        <v>2835.8</v>
      </c>
      <c r="B1436">
        <v>2757.6</v>
      </c>
      <c r="C1436">
        <v>1918</v>
      </c>
      <c r="D1436">
        <v>1761</v>
      </c>
      <c r="E1436" t="s">
        <v>66</v>
      </c>
      <c r="F1436" t="b">
        <v>0</v>
      </c>
      <c r="G1436" t="b">
        <v>0</v>
      </c>
      <c r="H1436">
        <v>1.7</v>
      </c>
      <c r="I1436">
        <v>5.3330000000000002</v>
      </c>
      <c r="J1436" t="s">
        <v>159</v>
      </c>
      <c r="K1436" t="s">
        <v>159</v>
      </c>
      <c r="L1436" t="s">
        <v>159</v>
      </c>
      <c r="M1436" t="s">
        <v>159</v>
      </c>
      <c r="N1436" t="s">
        <v>159</v>
      </c>
      <c r="O1436" t="s">
        <v>159</v>
      </c>
      <c r="P1436" t="s">
        <v>159</v>
      </c>
      <c r="Q1436" t="s">
        <v>159</v>
      </c>
    </row>
    <row r="1437" spans="1:17">
      <c r="A1437">
        <v>2837.1</v>
      </c>
      <c r="B1437">
        <v>2758.9</v>
      </c>
      <c r="C1437">
        <v>1919</v>
      </c>
      <c r="D1437">
        <v>1762</v>
      </c>
      <c r="E1437" t="s">
        <v>66</v>
      </c>
      <c r="F1437" t="b">
        <v>0</v>
      </c>
      <c r="G1437" t="b">
        <v>0</v>
      </c>
      <c r="H1437">
        <v>1.2</v>
      </c>
      <c r="I1437">
        <v>5.3330000000000002</v>
      </c>
      <c r="J1437" t="s">
        <v>159</v>
      </c>
      <c r="K1437" t="s">
        <v>159</v>
      </c>
      <c r="L1437" t="s">
        <v>159</v>
      </c>
      <c r="M1437" t="s">
        <v>159</v>
      </c>
      <c r="N1437" t="s">
        <v>159</v>
      </c>
      <c r="O1437" t="s">
        <v>159</v>
      </c>
      <c r="P1437" t="s">
        <v>159</v>
      </c>
      <c r="Q1437" t="s">
        <v>159</v>
      </c>
    </row>
    <row r="1438" spans="1:17">
      <c r="A1438">
        <v>2838.6</v>
      </c>
      <c r="B1438">
        <v>2760.3</v>
      </c>
      <c r="C1438">
        <v>1920</v>
      </c>
      <c r="D1438">
        <v>1763</v>
      </c>
      <c r="E1438" t="s">
        <v>66</v>
      </c>
      <c r="F1438" t="b">
        <v>0</v>
      </c>
      <c r="G1438" t="b">
        <v>0</v>
      </c>
      <c r="H1438">
        <v>1.5</v>
      </c>
      <c r="I1438">
        <v>5.3330000000000002</v>
      </c>
      <c r="J1438" t="s">
        <v>159</v>
      </c>
      <c r="K1438" t="s">
        <v>159</v>
      </c>
      <c r="L1438" t="s">
        <v>159</v>
      </c>
      <c r="M1438" t="s">
        <v>159</v>
      </c>
      <c r="N1438" t="s">
        <v>159</v>
      </c>
      <c r="O1438" t="s">
        <v>159</v>
      </c>
      <c r="P1438" t="s">
        <v>159</v>
      </c>
      <c r="Q1438" t="s">
        <v>159</v>
      </c>
    </row>
    <row r="1439" spans="1:17">
      <c r="A1439">
        <v>2839.9</v>
      </c>
      <c r="B1439">
        <v>2761.7</v>
      </c>
      <c r="C1439">
        <v>1921</v>
      </c>
      <c r="D1439">
        <v>1764</v>
      </c>
      <c r="E1439" t="s">
        <v>66</v>
      </c>
      <c r="F1439" t="b">
        <v>0</v>
      </c>
      <c r="G1439" t="b">
        <v>0</v>
      </c>
      <c r="H1439">
        <v>1.4</v>
      </c>
      <c r="I1439">
        <v>5.3330000000000002</v>
      </c>
      <c r="J1439" t="s">
        <v>159</v>
      </c>
      <c r="K1439" t="s">
        <v>159</v>
      </c>
      <c r="L1439" t="s">
        <v>159</v>
      </c>
      <c r="M1439" t="s">
        <v>159</v>
      </c>
      <c r="N1439" t="s">
        <v>159</v>
      </c>
      <c r="O1439" t="s">
        <v>159</v>
      </c>
      <c r="P1439" t="s">
        <v>159</v>
      </c>
      <c r="Q1439" t="s">
        <v>159</v>
      </c>
    </row>
    <row r="1440" spans="1:17">
      <c r="A1440">
        <v>2842.2</v>
      </c>
      <c r="B1440">
        <v>2764</v>
      </c>
      <c r="C1440">
        <v>1923</v>
      </c>
      <c r="D1440">
        <v>1765</v>
      </c>
      <c r="E1440" t="s">
        <v>66</v>
      </c>
      <c r="F1440" t="b">
        <v>0</v>
      </c>
      <c r="G1440" t="b">
        <v>0</v>
      </c>
      <c r="H1440">
        <v>2.2999999999999998</v>
      </c>
      <c r="I1440" t="s">
        <v>159</v>
      </c>
      <c r="J1440" t="s">
        <v>159</v>
      </c>
      <c r="K1440" t="s">
        <v>159</v>
      </c>
      <c r="L1440" t="s">
        <v>159</v>
      </c>
      <c r="M1440" t="s">
        <v>159</v>
      </c>
      <c r="N1440" t="s">
        <v>159</v>
      </c>
      <c r="O1440" t="s">
        <v>159</v>
      </c>
      <c r="P1440" t="s">
        <v>159</v>
      </c>
      <c r="Q1440" t="s">
        <v>159</v>
      </c>
    </row>
    <row r="1441" spans="1:17">
      <c r="A1441">
        <v>2845.5</v>
      </c>
      <c r="B1441">
        <v>2767.3</v>
      </c>
      <c r="C1441">
        <v>1925</v>
      </c>
      <c r="D1441">
        <v>1766</v>
      </c>
      <c r="E1441" t="s">
        <v>66</v>
      </c>
      <c r="F1441" t="b">
        <v>0</v>
      </c>
      <c r="G1441" t="b">
        <v>0</v>
      </c>
      <c r="H1441">
        <v>3.3</v>
      </c>
      <c r="I1441" t="s">
        <v>159</v>
      </c>
      <c r="J1441" t="s">
        <v>159</v>
      </c>
      <c r="K1441" t="s">
        <v>159</v>
      </c>
      <c r="L1441" t="s">
        <v>159</v>
      </c>
      <c r="M1441" t="s">
        <v>159</v>
      </c>
      <c r="N1441" t="s">
        <v>159</v>
      </c>
      <c r="O1441" t="s">
        <v>159</v>
      </c>
      <c r="P1441" t="s">
        <v>159</v>
      </c>
      <c r="Q1441" t="s">
        <v>159</v>
      </c>
    </row>
    <row r="1442" spans="1:17">
      <c r="A1442">
        <v>2847.7</v>
      </c>
      <c r="B1442">
        <v>2769.5</v>
      </c>
      <c r="C1442">
        <v>1927</v>
      </c>
      <c r="D1442">
        <v>1767</v>
      </c>
      <c r="E1442" t="s">
        <v>66</v>
      </c>
      <c r="F1442" t="b">
        <v>0</v>
      </c>
      <c r="G1442" t="b">
        <v>0</v>
      </c>
      <c r="H1442">
        <v>2.2000000000000002</v>
      </c>
      <c r="I1442" t="s">
        <v>159</v>
      </c>
      <c r="J1442" t="s">
        <v>159</v>
      </c>
      <c r="K1442" t="s">
        <v>159</v>
      </c>
      <c r="L1442" t="s">
        <v>159</v>
      </c>
      <c r="M1442" t="s">
        <v>159</v>
      </c>
      <c r="N1442" t="s">
        <v>159</v>
      </c>
      <c r="O1442" t="s">
        <v>159</v>
      </c>
      <c r="P1442" t="s">
        <v>159</v>
      </c>
      <c r="Q1442" t="s">
        <v>159</v>
      </c>
    </row>
    <row r="1443" spans="1:17">
      <c r="A1443">
        <v>2849.1</v>
      </c>
      <c r="B1443">
        <v>2770.9</v>
      </c>
      <c r="C1443">
        <v>1928</v>
      </c>
      <c r="D1443">
        <v>1768</v>
      </c>
      <c r="E1443" t="s">
        <v>66</v>
      </c>
      <c r="F1443" t="b">
        <v>0</v>
      </c>
      <c r="G1443" t="b">
        <v>0</v>
      </c>
      <c r="H1443">
        <v>1.4</v>
      </c>
      <c r="I1443" t="s">
        <v>159</v>
      </c>
      <c r="J1443" t="s">
        <v>159</v>
      </c>
      <c r="K1443" t="s">
        <v>159</v>
      </c>
      <c r="L1443" t="s">
        <v>159</v>
      </c>
      <c r="M1443" t="s">
        <v>159</v>
      </c>
      <c r="N1443" t="s">
        <v>159</v>
      </c>
      <c r="O1443" t="s">
        <v>159</v>
      </c>
      <c r="P1443" t="s">
        <v>159</v>
      </c>
      <c r="Q1443" t="s">
        <v>159</v>
      </c>
    </row>
    <row r="1444" spans="1:17">
      <c r="A1444">
        <v>2850.5</v>
      </c>
      <c r="B1444">
        <v>2772.3</v>
      </c>
      <c r="C1444">
        <v>1929</v>
      </c>
      <c r="D1444">
        <v>1769</v>
      </c>
      <c r="E1444" t="s">
        <v>66</v>
      </c>
      <c r="F1444" t="b">
        <v>0</v>
      </c>
      <c r="G1444" t="b">
        <v>0</v>
      </c>
      <c r="H1444">
        <v>1.4</v>
      </c>
      <c r="I1444" t="s">
        <v>159</v>
      </c>
      <c r="J1444" t="s">
        <v>159</v>
      </c>
      <c r="K1444" t="s">
        <v>159</v>
      </c>
      <c r="L1444" t="s">
        <v>159</v>
      </c>
      <c r="M1444" t="s">
        <v>159</v>
      </c>
      <c r="N1444" t="s">
        <v>159</v>
      </c>
      <c r="O1444" t="s">
        <v>159</v>
      </c>
      <c r="P1444" t="s">
        <v>159</v>
      </c>
      <c r="Q1444" t="s">
        <v>159</v>
      </c>
    </row>
    <row r="1445" spans="1:17">
      <c r="A1445">
        <v>2851.9</v>
      </c>
      <c r="B1445">
        <v>2773.7</v>
      </c>
      <c r="C1445">
        <v>1930</v>
      </c>
      <c r="D1445">
        <v>1770</v>
      </c>
      <c r="E1445" t="s">
        <v>66</v>
      </c>
      <c r="F1445" t="b">
        <v>0</v>
      </c>
      <c r="G1445" t="b">
        <v>0</v>
      </c>
      <c r="H1445">
        <v>1.4</v>
      </c>
      <c r="I1445" t="s">
        <v>159</v>
      </c>
      <c r="J1445" t="s">
        <v>159</v>
      </c>
      <c r="K1445" t="s">
        <v>159</v>
      </c>
      <c r="L1445" t="s">
        <v>159</v>
      </c>
      <c r="M1445" t="s">
        <v>159</v>
      </c>
      <c r="N1445" t="s">
        <v>159</v>
      </c>
      <c r="O1445" t="s">
        <v>159</v>
      </c>
      <c r="P1445" t="s">
        <v>159</v>
      </c>
      <c r="Q1445" t="s">
        <v>159</v>
      </c>
    </row>
    <row r="1446" spans="1:17">
      <c r="A1446">
        <v>2853.9</v>
      </c>
      <c r="B1446">
        <v>2775.7</v>
      </c>
      <c r="C1446">
        <v>1931</v>
      </c>
      <c r="D1446">
        <v>1771</v>
      </c>
      <c r="E1446" t="s">
        <v>66</v>
      </c>
      <c r="F1446" t="b">
        <v>0</v>
      </c>
      <c r="G1446" t="b">
        <v>0</v>
      </c>
      <c r="H1446">
        <v>2.1</v>
      </c>
      <c r="I1446" t="s">
        <v>159</v>
      </c>
      <c r="J1446" t="s">
        <v>159</v>
      </c>
      <c r="K1446" t="s">
        <v>159</v>
      </c>
      <c r="L1446" t="s">
        <v>159</v>
      </c>
      <c r="M1446" t="s">
        <v>159</v>
      </c>
      <c r="N1446" t="s">
        <v>159</v>
      </c>
      <c r="O1446" t="s">
        <v>159</v>
      </c>
      <c r="P1446" t="s">
        <v>159</v>
      </c>
      <c r="Q1446" t="s">
        <v>159</v>
      </c>
    </row>
    <row r="1447" spans="1:17">
      <c r="A1447">
        <v>2855.6</v>
      </c>
      <c r="B1447">
        <v>2777.4</v>
      </c>
      <c r="C1447">
        <v>1932</v>
      </c>
      <c r="D1447">
        <v>1772</v>
      </c>
      <c r="E1447" t="s">
        <v>66</v>
      </c>
      <c r="F1447" t="b">
        <v>0</v>
      </c>
      <c r="G1447" t="b">
        <v>0</v>
      </c>
      <c r="H1447">
        <v>1.7</v>
      </c>
      <c r="I1447" t="s">
        <v>159</v>
      </c>
      <c r="J1447">
        <v>0.82199999999999995</v>
      </c>
      <c r="K1447">
        <v>3.29</v>
      </c>
      <c r="L1447">
        <v>7.02</v>
      </c>
      <c r="M1447">
        <v>13.6</v>
      </c>
      <c r="N1447">
        <v>22.7</v>
      </c>
      <c r="O1447">
        <v>16.91</v>
      </c>
      <c r="P1447">
        <v>82.97</v>
      </c>
      <c r="Q1447">
        <v>0.12</v>
      </c>
    </row>
    <row r="1448" spans="1:17">
      <c r="A1448">
        <v>2858.2</v>
      </c>
      <c r="B1448">
        <v>2780</v>
      </c>
      <c r="C1448">
        <v>1934</v>
      </c>
      <c r="D1448">
        <v>1773</v>
      </c>
      <c r="E1448" t="s">
        <v>66</v>
      </c>
      <c r="F1448" t="b">
        <v>0</v>
      </c>
      <c r="G1448" t="b">
        <v>0</v>
      </c>
      <c r="H1448">
        <v>2.6</v>
      </c>
      <c r="I1448" t="s">
        <v>159</v>
      </c>
      <c r="J1448">
        <v>0.82199999999999995</v>
      </c>
      <c r="K1448">
        <v>3.29</v>
      </c>
      <c r="L1448">
        <v>7.02</v>
      </c>
      <c r="M1448">
        <v>13.6</v>
      </c>
      <c r="N1448">
        <v>22.7</v>
      </c>
      <c r="O1448">
        <v>16.91</v>
      </c>
      <c r="P1448">
        <v>82.97</v>
      </c>
      <c r="Q1448">
        <v>0.12</v>
      </c>
    </row>
    <row r="1449" spans="1:17">
      <c r="A1449">
        <v>2860.1</v>
      </c>
      <c r="B1449">
        <v>2781.8</v>
      </c>
      <c r="C1449">
        <v>1936</v>
      </c>
      <c r="D1449">
        <v>1774</v>
      </c>
      <c r="E1449" t="s">
        <v>66</v>
      </c>
      <c r="F1449" t="b">
        <v>0</v>
      </c>
      <c r="G1449" t="b">
        <v>0</v>
      </c>
      <c r="H1449">
        <v>1.8</v>
      </c>
      <c r="I1449" t="s">
        <v>159</v>
      </c>
      <c r="J1449">
        <v>0.82199999999999995</v>
      </c>
      <c r="K1449">
        <v>3.29</v>
      </c>
      <c r="L1449">
        <v>7.02</v>
      </c>
      <c r="M1449">
        <v>13.6</v>
      </c>
      <c r="N1449">
        <v>22.7</v>
      </c>
      <c r="O1449">
        <v>16.91</v>
      </c>
      <c r="P1449">
        <v>82.97</v>
      </c>
      <c r="Q1449">
        <v>0.12</v>
      </c>
    </row>
    <row r="1450" spans="1:17">
      <c r="A1450">
        <v>2862.1</v>
      </c>
      <c r="B1450">
        <v>2783.9</v>
      </c>
      <c r="C1450">
        <v>1937</v>
      </c>
      <c r="D1450">
        <v>1775</v>
      </c>
      <c r="E1450" t="s">
        <v>66</v>
      </c>
      <c r="F1450" t="b">
        <v>0</v>
      </c>
      <c r="G1450" t="b">
        <v>0</v>
      </c>
      <c r="H1450">
        <v>2</v>
      </c>
      <c r="I1450" t="s">
        <v>159</v>
      </c>
      <c r="J1450">
        <v>0.82199999999999995</v>
      </c>
      <c r="K1450">
        <v>3.29</v>
      </c>
      <c r="L1450">
        <v>7.02</v>
      </c>
      <c r="M1450">
        <v>13.6</v>
      </c>
      <c r="N1450">
        <v>22.7</v>
      </c>
      <c r="O1450">
        <v>16.91</v>
      </c>
      <c r="P1450">
        <v>82.97</v>
      </c>
      <c r="Q1450">
        <v>0.12</v>
      </c>
    </row>
    <row r="1451" spans="1:17">
      <c r="A1451">
        <v>2864.1</v>
      </c>
      <c r="B1451">
        <v>2785.9</v>
      </c>
      <c r="C1451">
        <v>1938</v>
      </c>
      <c r="D1451">
        <v>1776</v>
      </c>
      <c r="E1451" t="s">
        <v>66</v>
      </c>
      <c r="F1451" t="b">
        <v>0</v>
      </c>
      <c r="G1451" t="b">
        <v>0</v>
      </c>
      <c r="H1451">
        <v>2</v>
      </c>
      <c r="I1451" t="s">
        <v>159</v>
      </c>
      <c r="J1451">
        <v>0.82199999999999995</v>
      </c>
      <c r="K1451">
        <v>3.29</v>
      </c>
      <c r="L1451">
        <v>7.02</v>
      </c>
      <c r="M1451">
        <v>13.6</v>
      </c>
      <c r="N1451">
        <v>22.7</v>
      </c>
      <c r="O1451">
        <v>16.91</v>
      </c>
      <c r="P1451">
        <v>82.97</v>
      </c>
      <c r="Q1451">
        <v>0.12</v>
      </c>
    </row>
    <row r="1452" spans="1:17">
      <c r="A1452">
        <v>2865.8</v>
      </c>
      <c r="B1452">
        <v>2787.6</v>
      </c>
      <c r="C1452">
        <v>1940</v>
      </c>
      <c r="D1452">
        <v>1777</v>
      </c>
      <c r="E1452" t="s">
        <v>66</v>
      </c>
      <c r="F1452" t="b">
        <v>0</v>
      </c>
      <c r="G1452" t="b">
        <v>0</v>
      </c>
      <c r="H1452">
        <v>1.8</v>
      </c>
      <c r="I1452" t="s">
        <v>159</v>
      </c>
      <c r="J1452">
        <v>0.82199999999999995</v>
      </c>
      <c r="K1452">
        <v>3.29</v>
      </c>
      <c r="L1452">
        <v>7.02</v>
      </c>
      <c r="M1452">
        <v>13.6</v>
      </c>
      <c r="N1452">
        <v>22.7</v>
      </c>
      <c r="O1452">
        <v>16.91</v>
      </c>
      <c r="P1452">
        <v>82.97</v>
      </c>
      <c r="Q1452">
        <v>0.12</v>
      </c>
    </row>
    <row r="1453" spans="1:17">
      <c r="A1453">
        <v>2867.3</v>
      </c>
      <c r="B1453">
        <v>2789.1</v>
      </c>
      <c r="C1453">
        <v>1941</v>
      </c>
      <c r="D1453">
        <v>1778</v>
      </c>
      <c r="E1453" t="s">
        <v>66</v>
      </c>
      <c r="F1453" t="b">
        <v>0</v>
      </c>
      <c r="G1453" t="b">
        <v>0</v>
      </c>
      <c r="H1453">
        <v>1.4</v>
      </c>
      <c r="I1453" t="s">
        <v>159</v>
      </c>
      <c r="J1453">
        <v>0.82199999999999995</v>
      </c>
      <c r="K1453">
        <v>3.29</v>
      </c>
      <c r="L1453">
        <v>7.02</v>
      </c>
      <c r="M1453">
        <v>13.6</v>
      </c>
      <c r="N1453">
        <v>22.7</v>
      </c>
      <c r="O1453">
        <v>16.91</v>
      </c>
      <c r="P1453">
        <v>82.97</v>
      </c>
      <c r="Q1453">
        <v>0.12</v>
      </c>
    </row>
    <row r="1454" spans="1:17">
      <c r="A1454">
        <v>2868.8</v>
      </c>
      <c r="B1454">
        <v>2790.5</v>
      </c>
      <c r="C1454">
        <v>1942</v>
      </c>
      <c r="D1454">
        <v>1779</v>
      </c>
      <c r="E1454" t="s">
        <v>66</v>
      </c>
      <c r="F1454" t="b">
        <v>0</v>
      </c>
      <c r="G1454" t="b">
        <v>0</v>
      </c>
      <c r="H1454">
        <v>1.5</v>
      </c>
      <c r="I1454" t="s">
        <v>159</v>
      </c>
      <c r="J1454">
        <v>0.82199999999999995</v>
      </c>
      <c r="K1454">
        <v>3.29</v>
      </c>
      <c r="L1454">
        <v>7.02</v>
      </c>
      <c r="M1454">
        <v>13.6</v>
      </c>
      <c r="N1454">
        <v>22.7</v>
      </c>
      <c r="O1454">
        <v>16.91</v>
      </c>
      <c r="P1454">
        <v>82.97</v>
      </c>
      <c r="Q1454">
        <v>0.12</v>
      </c>
    </row>
    <row r="1455" spans="1:17">
      <c r="A1455">
        <v>2871.3</v>
      </c>
      <c r="B1455">
        <v>2793.1</v>
      </c>
      <c r="C1455">
        <v>1944</v>
      </c>
      <c r="D1455">
        <v>1780</v>
      </c>
      <c r="E1455" t="s">
        <v>66</v>
      </c>
      <c r="F1455" t="b">
        <v>0</v>
      </c>
      <c r="G1455" t="b">
        <v>0</v>
      </c>
      <c r="H1455">
        <v>2.5</v>
      </c>
      <c r="I1455">
        <v>4.4400000000000004</v>
      </c>
      <c r="J1455">
        <v>0.82199999999999995</v>
      </c>
      <c r="K1455">
        <v>3.29</v>
      </c>
      <c r="L1455">
        <v>7.02</v>
      </c>
      <c r="M1455">
        <v>13.6</v>
      </c>
      <c r="N1455">
        <v>22.7</v>
      </c>
      <c r="O1455">
        <v>16.91</v>
      </c>
      <c r="P1455">
        <v>82.97</v>
      </c>
      <c r="Q1455">
        <v>0.12</v>
      </c>
    </row>
    <row r="1456" spans="1:17">
      <c r="A1456">
        <v>2874.3</v>
      </c>
      <c r="B1456">
        <v>2796.1</v>
      </c>
      <c r="C1456">
        <v>1946</v>
      </c>
      <c r="D1456">
        <v>1781</v>
      </c>
      <c r="E1456" t="s">
        <v>66</v>
      </c>
      <c r="F1456" t="b">
        <v>0</v>
      </c>
      <c r="G1456" t="b">
        <v>0</v>
      </c>
      <c r="H1456">
        <v>3</v>
      </c>
      <c r="I1456">
        <v>4.4400000000000004</v>
      </c>
      <c r="J1456">
        <v>0.82199999999999995</v>
      </c>
      <c r="K1456">
        <v>3.29</v>
      </c>
      <c r="L1456">
        <v>7.02</v>
      </c>
      <c r="M1456">
        <v>13.6</v>
      </c>
      <c r="N1456">
        <v>22.7</v>
      </c>
      <c r="O1456">
        <v>16.91</v>
      </c>
      <c r="P1456">
        <v>82.97</v>
      </c>
      <c r="Q1456">
        <v>0.12</v>
      </c>
    </row>
    <row r="1457" spans="1:17">
      <c r="A1457">
        <v>2875.9</v>
      </c>
      <c r="B1457">
        <v>2797.7</v>
      </c>
      <c r="C1457">
        <v>1947</v>
      </c>
      <c r="D1457">
        <v>1782</v>
      </c>
      <c r="E1457" t="s">
        <v>66</v>
      </c>
      <c r="F1457" t="b">
        <v>0</v>
      </c>
      <c r="G1457" t="b">
        <v>0</v>
      </c>
      <c r="H1457">
        <v>1.6</v>
      </c>
      <c r="I1457">
        <v>4.4400000000000004</v>
      </c>
      <c r="J1457" t="s">
        <v>159</v>
      </c>
      <c r="K1457" t="s">
        <v>159</v>
      </c>
      <c r="L1457" t="s">
        <v>159</v>
      </c>
      <c r="M1457" t="s">
        <v>159</v>
      </c>
      <c r="N1457" t="s">
        <v>159</v>
      </c>
      <c r="O1457" t="s">
        <v>159</v>
      </c>
      <c r="P1457" t="s">
        <v>159</v>
      </c>
      <c r="Q1457" t="s">
        <v>159</v>
      </c>
    </row>
    <row r="1458" spans="1:17">
      <c r="A1458">
        <v>2877.7</v>
      </c>
      <c r="B1458">
        <v>2799.4</v>
      </c>
      <c r="C1458">
        <v>1948</v>
      </c>
      <c r="D1458">
        <v>1783</v>
      </c>
      <c r="E1458" t="s">
        <v>66</v>
      </c>
      <c r="F1458" t="b">
        <v>0</v>
      </c>
      <c r="G1458" t="b">
        <v>0</v>
      </c>
      <c r="H1458">
        <v>1.8</v>
      </c>
      <c r="I1458">
        <v>4.4400000000000004</v>
      </c>
      <c r="J1458" t="s">
        <v>159</v>
      </c>
      <c r="K1458" t="s">
        <v>159</v>
      </c>
      <c r="L1458" t="s">
        <v>159</v>
      </c>
      <c r="M1458" t="s">
        <v>159</v>
      </c>
      <c r="N1458" t="s">
        <v>159</v>
      </c>
      <c r="O1458" t="s">
        <v>159</v>
      </c>
      <c r="P1458" t="s">
        <v>159</v>
      </c>
      <c r="Q1458" t="s">
        <v>159</v>
      </c>
    </row>
    <row r="1459" spans="1:17">
      <c r="A1459">
        <v>2879.5</v>
      </c>
      <c r="B1459">
        <v>2801.2</v>
      </c>
      <c r="C1459">
        <v>1949</v>
      </c>
      <c r="D1459">
        <v>1784</v>
      </c>
      <c r="E1459" t="s">
        <v>66</v>
      </c>
      <c r="F1459" t="b">
        <v>0</v>
      </c>
      <c r="G1459" t="b">
        <v>0</v>
      </c>
      <c r="H1459">
        <v>1.8</v>
      </c>
      <c r="I1459">
        <v>4.4400000000000004</v>
      </c>
      <c r="J1459" t="s">
        <v>159</v>
      </c>
      <c r="K1459" t="s">
        <v>159</v>
      </c>
      <c r="L1459" t="s">
        <v>159</v>
      </c>
      <c r="M1459" t="s">
        <v>159</v>
      </c>
      <c r="N1459" t="s">
        <v>159</v>
      </c>
      <c r="O1459" t="s">
        <v>159</v>
      </c>
      <c r="P1459" t="s">
        <v>159</v>
      </c>
      <c r="Q1459" t="s">
        <v>159</v>
      </c>
    </row>
    <row r="1460" spans="1:17">
      <c r="A1460">
        <v>2881</v>
      </c>
      <c r="B1460">
        <v>2802.7</v>
      </c>
      <c r="C1460">
        <v>1951</v>
      </c>
      <c r="D1460">
        <v>1785</v>
      </c>
      <c r="E1460" t="s">
        <v>66</v>
      </c>
      <c r="F1460" t="b">
        <v>0</v>
      </c>
      <c r="G1460" t="b">
        <v>0</v>
      </c>
      <c r="H1460">
        <v>1.5</v>
      </c>
      <c r="I1460">
        <v>4.4400000000000004</v>
      </c>
      <c r="J1460" t="s">
        <v>159</v>
      </c>
      <c r="K1460" t="s">
        <v>159</v>
      </c>
      <c r="L1460" t="s">
        <v>159</v>
      </c>
      <c r="M1460" t="s">
        <v>159</v>
      </c>
      <c r="N1460" t="s">
        <v>159</v>
      </c>
      <c r="O1460" t="s">
        <v>159</v>
      </c>
      <c r="P1460" t="s">
        <v>159</v>
      </c>
      <c r="Q1460" t="s">
        <v>159</v>
      </c>
    </row>
    <row r="1461" spans="1:17">
      <c r="A1461">
        <v>2882.6</v>
      </c>
      <c r="B1461">
        <v>2804.4</v>
      </c>
      <c r="C1461">
        <v>1952</v>
      </c>
      <c r="D1461">
        <v>1786</v>
      </c>
      <c r="E1461" t="s">
        <v>66</v>
      </c>
      <c r="F1461" t="b">
        <v>0</v>
      </c>
      <c r="G1461" t="b">
        <v>0</v>
      </c>
      <c r="H1461">
        <v>1.6</v>
      </c>
      <c r="I1461">
        <v>4.4400000000000004</v>
      </c>
      <c r="J1461" t="s">
        <v>159</v>
      </c>
      <c r="K1461" t="s">
        <v>159</v>
      </c>
      <c r="L1461" t="s">
        <v>159</v>
      </c>
      <c r="M1461" t="s">
        <v>159</v>
      </c>
      <c r="N1461" t="s">
        <v>159</v>
      </c>
      <c r="O1461" t="s">
        <v>159</v>
      </c>
      <c r="P1461" t="s">
        <v>159</v>
      </c>
      <c r="Q1461" t="s">
        <v>159</v>
      </c>
    </row>
    <row r="1462" spans="1:17">
      <c r="A1462">
        <v>2884.3</v>
      </c>
      <c r="B1462">
        <v>2806</v>
      </c>
      <c r="C1462">
        <v>1953</v>
      </c>
      <c r="D1462">
        <v>1787</v>
      </c>
      <c r="E1462" t="s">
        <v>66</v>
      </c>
      <c r="F1462" t="b">
        <v>0</v>
      </c>
      <c r="G1462" t="b">
        <v>0</v>
      </c>
      <c r="H1462">
        <v>1.7</v>
      </c>
      <c r="I1462">
        <v>4.4400000000000004</v>
      </c>
      <c r="J1462" t="s">
        <v>159</v>
      </c>
      <c r="K1462" t="s">
        <v>159</v>
      </c>
      <c r="L1462" t="s">
        <v>159</v>
      </c>
      <c r="M1462" t="s">
        <v>159</v>
      </c>
      <c r="N1462" t="s">
        <v>159</v>
      </c>
      <c r="O1462" t="s">
        <v>159</v>
      </c>
      <c r="P1462" t="s">
        <v>159</v>
      </c>
      <c r="Q1462" t="s">
        <v>159</v>
      </c>
    </row>
    <row r="1463" spans="1:17">
      <c r="A1463">
        <v>2886</v>
      </c>
      <c r="B1463">
        <v>2807.8</v>
      </c>
      <c r="C1463">
        <v>1954</v>
      </c>
      <c r="D1463">
        <v>1788</v>
      </c>
      <c r="E1463" t="s">
        <v>66</v>
      </c>
      <c r="F1463" t="b">
        <v>0</v>
      </c>
      <c r="G1463" t="b">
        <v>0</v>
      </c>
      <c r="H1463">
        <v>1.8</v>
      </c>
      <c r="I1463">
        <v>4.4400000000000004</v>
      </c>
      <c r="J1463" t="s">
        <v>159</v>
      </c>
      <c r="K1463" t="s">
        <v>159</v>
      </c>
      <c r="L1463" t="s">
        <v>159</v>
      </c>
      <c r="M1463" t="s">
        <v>159</v>
      </c>
      <c r="N1463" t="s">
        <v>159</v>
      </c>
      <c r="O1463" t="s">
        <v>159</v>
      </c>
      <c r="P1463" t="s">
        <v>159</v>
      </c>
      <c r="Q1463" t="s">
        <v>159</v>
      </c>
    </row>
    <row r="1464" spans="1:17">
      <c r="A1464">
        <v>2887.4</v>
      </c>
      <c r="B1464">
        <v>2809.2</v>
      </c>
      <c r="C1464">
        <v>1955</v>
      </c>
      <c r="D1464">
        <v>1789</v>
      </c>
      <c r="E1464" t="s">
        <v>66</v>
      </c>
      <c r="F1464" t="b">
        <v>0</v>
      </c>
      <c r="G1464" t="b">
        <v>0</v>
      </c>
      <c r="H1464">
        <v>1.4</v>
      </c>
      <c r="I1464">
        <v>4.4400000000000004</v>
      </c>
      <c r="J1464" t="s">
        <v>159</v>
      </c>
      <c r="K1464" t="s">
        <v>159</v>
      </c>
      <c r="L1464" t="s">
        <v>159</v>
      </c>
      <c r="M1464" t="s">
        <v>159</v>
      </c>
      <c r="N1464" t="s">
        <v>159</v>
      </c>
      <c r="O1464" t="s">
        <v>159</v>
      </c>
      <c r="P1464" t="s">
        <v>159</v>
      </c>
      <c r="Q1464" t="s">
        <v>159</v>
      </c>
    </row>
    <row r="1465" spans="1:17">
      <c r="A1465">
        <v>2889</v>
      </c>
      <c r="B1465">
        <v>2810.7</v>
      </c>
      <c r="C1465">
        <v>1956</v>
      </c>
      <c r="D1465">
        <v>1790</v>
      </c>
      <c r="E1465" t="s">
        <v>66</v>
      </c>
      <c r="F1465" t="b">
        <v>0</v>
      </c>
      <c r="G1465" t="b">
        <v>0</v>
      </c>
      <c r="H1465">
        <v>1.6</v>
      </c>
      <c r="I1465">
        <v>4.4400000000000004</v>
      </c>
      <c r="J1465" t="s">
        <v>159</v>
      </c>
      <c r="K1465" t="s">
        <v>159</v>
      </c>
      <c r="L1465" t="s">
        <v>159</v>
      </c>
      <c r="M1465" t="s">
        <v>159</v>
      </c>
      <c r="N1465" t="s">
        <v>159</v>
      </c>
      <c r="O1465" t="s">
        <v>159</v>
      </c>
      <c r="P1465" t="s">
        <v>159</v>
      </c>
      <c r="Q1465" t="s">
        <v>159</v>
      </c>
    </row>
    <row r="1466" spans="1:17">
      <c r="A1466">
        <v>2890.7</v>
      </c>
      <c r="B1466">
        <v>2812.5</v>
      </c>
      <c r="C1466">
        <v>1958</v>
      </c>
      <c r="D1466">
        <v>1791</v>
      </c>
      <c r="E1466" t="s">
        <v>66</v>
      </c>
      <c r="F1466" t="b">
        <v>0</v>
      </c>
      <c r="G1466" t="b">
        <v>0</v>
      </c>
      <c r="H1466">
        <v>1.7</v>
      </c>
      <c r="I1466" t="s">
        <v>159</v>
      </c>
      <c r="J1466" t="s">
        <v>159</v>
      </c>
      <c r="K1466" t="s">
        <v>159</v>
      </c>
      <c r="L1466" t="s">
        <v>159</v>
      </c>
      <c r="M1466" t="s">
        <v>159</v>
      </c>
      <c r="N1466" t="s">
        <v>159</v>
      </c>
      <c r="O1466" t="s">
        <v>159</v>
      </c>
      <c r="P1466" t="s">
        <v>159</v>
      </c>
      <c r="Q1466" t="s">
        <v>159</v>
      </c>
    </row>
    <row r="1467" spans="1:17">
      <c r="A1467">
        <v>2892.3</v>
      </c>
      <c r="B1467">
        <v>2814.1</v>
      </c>
      <c r="C1467">
        <v>1959</v>
      </c>
      <c r="D1467">
        <v>1792</v>
      </c>
      <c r="E1467" t="s">
        <v>66</v>
      </c>
      <c r="F1467" t="b">
        <v>0</v>
      </c>
      <c r="G1467" t="b">
        <v>0</v>
      </c>
      <c r="H1467">
        <v>1.6</v>
      </c>
      <c r="I1467" t="s">
        <v>159</v>
      </c>
      <c r="J1467" t="s">
        <v>159</v>
      </c>
      <c r="K1467" t="s">
        <v>159</v>
      </c>
      <c r="L1467" t="s">
        <v>159</v>
      </c>
      <c r="M1467" t="s">
        <v>159</v>
      </c>
      <c r="N1467" t="s">
        <v>159</v>
      </c>
      <c r="O1467" t="s">
        <v>159</v>
      </c>
      <c r="P1467" t="s">
        <v>159</v>
      </c>
      <c r="Q1467" t="s">
        <v>159</v>
      </c>
    </row>
    <row r="1468" spans="1:17">
      <c r="A1468">
        <v>2893.8</v>
      </c>
      <c r="B1468">
        <v>2815.6</v>
      </c>
      <c r="C1468">
        <v>1960</v>
      </c>
      <c r="D1468">
        <v>1793</v>
      </c>
      <c r="E1468" t="s">
        <v>66</v>
      </c>
      <c r="F1468" t="b">
        <v>0</v>
      </c>
      <c r="G1468" t="b">
        <v>0</v>
      </c>
      <c r="H1468">
        <v>1.5</v>
      </c>
      <c r="I1468" t="s">
        <v>159</v>
      </c>
      <c r="J1468" t="s">
        <v>159</v>
      </c>
      <c r="K1468" t="s">
        <v>159</v>
      </c>
      <c r="L1468" t="s">
        <v>159</v>
      </c>
      <c r="M1468" t="s">
        <v>159</v>
      </c>
      <c r="N1468" t="s">
        <v>159</v>
      </c>
      <c r="O1468" t="s">
        <v>159</v>
      </c>
      <c r="P1468" t="s">
        <v>159</v>
      </c>
      <c r="Q1468" t="s">
        <v>159</v>
      </c>
    </row>
    <row r="1469" spans="1:17">
      <c r="A1469">
        <v>2895.8</v>
      </c>
      <c r="B1469">
        <v>2817.6</v>
      </c>
      <c r="C1469">
        <v>1961</v>
      </c>
      <c r="D1469">
        <v>1794</v>
      </c>
      <c r="E1469" t="s">
        <v>66</v>
      </c>
      <c r="F1469" t="b">
        <v>0</v>
      </c>
      <c r="G1469" t="b">
        <v>0</v>
      </c>
      <c r="H1469">
        <v>2</v>
      </c>
      <c r="I1469" t="s">
        <v>159</v>
      </c>
      <c r="J1469" t="s">
        <v>159</v>
      </c>
      <c r="K1469" t="s">
        <v>159</v>
      </c>
      <c r="L1469" t="s">
        <v>159</v>
      </c>
      <c r="M1469" t="s">
        <v>159</v>
      </c>
      <c r="N1469" t="s">
        <v>159</v>
      </c>
      <c r="O1469" t="s">
        <v>159</v>
      </c>
      <c r="P1469" t="s">
        <v>159</v>
      </c>
      <c r="Q1469" t="s">
        <v>159</v>
      </c>
    </row>
    <row r="1470" spans="1:17">
      <c r="A1470">
        <v>2897.5</v>
      </c>
      <c r="B1470">
        <v>2819.3</v>
      </c>
      <c r="C1470">
        <v>1962</v>
      </c>
      <c r="D1470">
        <v>1795</v>
      </c>
      <c r="E1470" t="s">
        <v>66</v>
      </c>
      <c r="F1470" t="b">
        <v>0</v>
      </c>
      <c r="G1470" t="b">
        <v>0</v>
      </c>
      <c r="H1470">
        <v>1.7</v>
      </c>
      <c r="I1470" t="s">
        <v>159</v>
      </c>
      <c r="J1470" t="s">
        <v>159</v>
      </c>
      <c r="K1470" t="s">
        <v>159</v>
      </c>
      <c r="L1470" t="s">
        <v>159</v>
      </c>
      <c r="M1470" t="s">
        <v>159</v>
      </c>
      <c r="N1470" t="s">
        <v>159</v>
      </c>
      <c r="O1470" t="s">
        <v>159</v>
      </c>
      <c r="P1470" t="s">
        <v>159</v>
      </c>
      <c r="Q1470" t="s">
        <v>159</v>
      </c>
    </row>
    <row r="1471" spans="1:17">
      <c r="A1471">
        <v>2899.2</v>
      </c>
      <c r="B1471">
        <v>2820.9</v>
      </c>
      <c r="C1471">
        <v>1964</v>
      </c>
      <c r="D1471">
        <v>1796</v>
      </c>
      <c r="E1471" t="s">
        <v>66</v>
      </c>
      <c r="F1471" t="b">
        <v>0</v>
      </c>
      <c r="G1471" t="b">
        <v>0</v>
      </c>
      <c r="H1471">
        <v>1.6</v>
      </c>
      <c r="I1471" t="s">
        <v>159</v>
      </c>
      <c r="J1471" t="s">
        <v>159</v>
      </c>
      <c r="K1471" t="s">
        <v>159</v>
      </c>
      <c r="L1471" t="s">
        <v>159</v>
      </c>
      <c r="M1471" t="s">
        <v>159</v>
      </c>
      <c r="N1471" t="s">
        <v>159</v>
      </c>
      <c r="O1471" t="s">
        <v>159</v>
      </c>
      <c r="P1471" t="s">
        <v>159</v>
      </c>
      <c r="Q1471" t="s">
        <v>159</v>
      </c>
    </row>
    <row r="1472" spans="1:17">
      <c r="A1472">
        <v>2901.6</v>
      </c>
      <c r="B1472">
        <v>2823.4</v>
      </c>
      <c r="C1472">
        <v>1965</v>
      </c>
      <c r="D1472">
        <v>1797</v>
      </c>
      <c r="E1472" t="s">
        <v>66</v>
      </c>
      <c r="F1472" t="b">
        <v>0</v>
      </c>
      <c r="G1472" t="b">
        <v>0</v>
      </c>
      <c r="H1472">
        <v>2.5</v>
      </c>
      <c r="I1472" t="s">
        <v>159</v>
      </c>
      <c r="J1472" t="s">
        <v>159</v>
      </c>
      <c r="K1472" t="s">
        <v>159</v>
      </c>
      <c r="L1472" t="s">
        <v>159</v>
      </c>
      <c r="M1472" t="s">
        <v>159</v>
      </c>
      <c r="N1472" t="s">
        <v>159</v>
      </c>
      <c r="O1472" t="s">
        <v>159</v>
      </c>
      <c r="P1472" t="s">
        <v>159</v>
      </c>
      <c r="Q1472" t="s">
        <v>159</v>
      </c>
    </row>
    <row r="1473" spans="1:17">
      <c r="A1473">
        <v>2903.3</v>
      </c>
      <c r="B1473">
        <v>2825.1</v>
      </c>
      <c r="C1473">
        <v>1967</v>
      </c>
      <c r="D1473">
        <v>1798</v>
      </c>
      <c r="E1473" t="s">
        <v>66</v>
      </c>
      <c r="F1473" t="b">
        <v>0</v>
      </c>
      <c r="G1473" t="b">
        <v>0</v>
      </c>
      <c r="H1473">
        <v>1.7</v>
      </c>
      <c r="I1473" t="s">
        <v>159</v>
      </c>
      <c r="J1473" t="s">
        <v>159</v>
      </c>
      <c r="K1473" t="s">
        <v>159</v>
      </c>
      <c r="L1473" t="s">
        <v>159</v>
      </c>
      <c r="M1473" t="s">
        <v>159</v>
      </c>
      <c r="N1473" t="s">
        <v>159</v>
      </c>
      <c r="O1473" t="s">
        <v>159</v>
      </c>
      <c r="P1473" t="s">
        <v>159</v>
      </c>
      <c r="Q1473" t="s">
        <v>159</v>
      </c>
    </row>
    <row r="1474" spans="1:17">
      <c r="A1474">
        <v>2906.5</v>
      </c>
      <c r="B1474">
        <v>2828.2</v>
      </c>
      <c r="C1474">
        <v>1969</v>
      </c>
      <c r="D1474">
        <v>1799</v>
      </c>
      <c r="E1474" t="s">
        <v>66</v>
      </c>
      <c r="F1474" t="b">
        <v>0</v>
      </c>
      <c r="G1474" t="b">
        <v>0</v>
      </c>
      <c r="H1474">
        <v>3.1</v>
      </c>
      <c r="I1474" t="s">
        <v>159</v>
      </c>
      <c r="J1474" t="s">
        <v>159</v>
      </c>
      <c r="K1474" t="s">
        <v>159</v>
      </c>
      <c r="L1474" t="s">
        <v>159</v>
      </c>
      <c r="M1474" t="s">
        <v>159</v>
      </c>
      <c r="N1474" t="s">
        <v>159</v>
      </c>
      <c r="O1474" t="s">
        <v>159</v>
      </c>
      <c r="P1474" t="s">
        <v>159</v>
      </c>
      <c r="Q1474" t="s">
        <v>159</v>
      </c>
    </row>
    <row r="1475" spans="1:17">
      <c r="A1475">
        <v>2908.1</v>
      </c>
      <c r="B1475">
        <v>2829.9</v>
      </c>
      <c r="C1475">
        <v>1970</v>
      </c>
      <c r="D1475">
        <v>1800</v>
      </c>
      <c r="E1475" t="s">
        <v>66</v>
      </c>
      <c r="F1475" t="b">
        <v>0</v>
      </c>
      <c r="G1475" t="b">
        <v>0</v>
      </c>
      <c r="H1475">
        <v>1.6</v>
      </c>
      <c r="I1475" t="s">
        <v>159</v>
      </c>
      <c r="J1475" t="s">
        <v>159</v>
      </c>
      <c r="K1475" t="s">
        <v>159</v>
      </c>
      <c r="L1475" t="s">
        <v>159</v>
      </c>
      <c r="M1475" t="s">
        <v>159</v>
      </c>
      <c r="N1475" t="s">
        <v>159</v>
      </c>
      <c r="O1475" t="s">
        <v>159</v>
      </c>
      <c r="P1475" t="s">
        <v>159</v>
      </c>
      <c r="Q1475" t="s">
        <v>159</v>
      </c>
    </row>
    <row r="1476" spans="1:17">
      <c r="A1476">
        <v>2909.8</v>
      </c>
      <c r="B1476">
        <v>2831.6</v>
      </c>
      <c r="C1476">
        <v>1971</v>
      </c>
      <c r="D1476">
        <v>1801</v>
      </c>
      <c r="E1476" t="s">
        <v>66</v>
      </c>
      <c r="F1476" t="b">
        <v>0</v>
      </c>
      <c r="G1476" t="b">
        <v>0</v>
      </c>
      <c r="H1476">
        <v>1.7</v>
      </c>
      <c r="I1476" t="s">
        <v>159</v>
      </c>
      <c r="J1476" t="s">
        <v>159</v>
      </c>
      <c r="K1476" t="s">
        <v>159</v>
      </c>
      <c r="L1476" t="s">
        <v>159</v>
      </c>
      <c r="M1476" t="s">
        <v>159</v>
      </c>
      <c r="N1476" t="s">
        <v>159</v>
      </c>
      <c r="O1476" t="s">
        <v>159</v>
      </c>
      <c r="P1476" t="s">
        <v>159</v>
      </c>
      <c r="Q1476" t="s">
        <v>159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8AD040-29B2-4CA3-B7F2-D916FA9C39CF}">
  <sheetPr codeName="Sheet10"/>
  <dimension ref="A1:P1"/>
  <sheetViews>
    <sheetView workbookViewId="0">
      <selection activeCell="A2" sqref="A2"/>
    </sheetView>
  </sheetViews>
  <sheetFormatPr defaultRowHeight="14.45"/>
  <cols>
    <col min="1" max="1" width="29.140625" customWidth="1"/>
    <col min="2" max="2" width="47" customWidth="1"/>
  </cols>
  <sheetData>
    <row r="1" spans="1:16">
      <c r="A1" s="28" t="s">
        <v>197</v>
      </c>
      <c r="B1" s="28" t="s">
        <v>198</v>
      </c>
      <c r="C1" s="28" t="s">
        <v>55</v>
      </c>
      <c r="D1" s="28" t="s">
        <v>199</v>
      </c>
      <c r="E1" s="28" t="s">
        <v>200</v>
      </c>
      <c r="F1" s="28" t="s">
        <v>201</v>
      </c>
      <c r="G1" s="28" t="s">
        <v>202</v>
      </c>
      <c r="H1" s="28" t="s">
        <v>203</v>
      </c>
      <c r="I1" s="28" t="s">
        <v>204</v>
      </c>
      <c r="J1" s="28" t="s">
        <v>205</v>
      </c>
      <c r="K1" s="28" t="s">
        <v>206</v>
      </c>
      <c r="L1" s="28" t="s">
        <v>207</v>
      </c>
      <c r="M1" s="28" t="s">
        <v>208</v>
      </c>
      <c r="N1" s="28" t="s">
        <v>209</v>
      </c>
      <c r="O1" s="28" t="s">
        <v>210</v>
      </c>
      <c r="P1" s="28" t="s">
        <v>118</v>
      </c>
    </row>
  </sheetData>
  <pageMargins left="0.7" right="0.7" top="0.75" bottom="0.75" header="0.3" footer="0.3"/>
  <pageSetup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07A8CA-A854-47AF-AF69-3FE520AA0F06}">
  <sheetPr codeName="Sheet11"/>
  <dimension ref="A1:P27"/>
  <sheetViews>
    <sheetView workbookViewId="0">
      <selection activeCell="A19" sqref="A19"/>
    </sheetView>
  </sheetViews>
  <sheetFormatPr defaultRowHeight="14.45"/>
  <cols>
    <col min="1" max="1" width="41.28515625" customWidth="1"/>
    <col min="2" max="2" width="43" customWidth="1"/>
    <col min="6" max="6" width="8.85546875" style="30"/>
    <col min="12" max="12" width="21.85546875" customWidth="1"/>
  </cols>
  <sheetData>
    <row r="1" spans="1:11" ht="15.6" thickTop="1" thickBot="1">
      <c r="A1" s="4" t="s">
        <v>211</v>
      </c>
      <c r="B1" s="3"/>
    </row>
    <row r="2" spans="1:11" ht="15.6" thickTop="1" thickBot="1">
      <c r="A2" s="10" t="s">
        <v>132</v>
      </c>
      <c r="B2" s="10" t="s">
        <v>212</v>
      </c>
      <c r="C2" s="10"/>
      <c r="D2" s="10"/>
      <c r="E2" s="10"/>
      <c r="F2" s="31"/>
      <c r="G2" s="10"/>
      <c r="H2" s="10"/>
      <c r="I2" s="10"/>
      <c r="J2" s="11"/>
      <c r="K2" s="11"/>
    </row>
    <row r="3" spans="1:11" ht="15" thickTop="1">
      <c r="A3" s="28" t="s">
        <v>197</v>
      </c>
      <c r="B3" s="28" t="s">
        <v>213</v>
      </c>
      <c r="I3" t="s">
        <v>147</v>
      </c>
    </row>
    <row r="4" spans="1:11">
      <c r="A4" s="28" t="s">
        <v>198</v>
      </c>
      <c r="B4" s="28" t="s">
        <v>214</v>
      </c>
      <c r="H4" s="29"/>
    </row>
    <row r="5" spans="1:11">
      <c r="A5" s="28" t="s">
        <v>55</v>
      </c>
      <c r="B5" s="28" t="s">
        <v>215</v>
      </c>
      <c r="H5" s="29"/>
    </row>
    <row r="6" spans="1:11">
      <c r="A6" s="28" t="s">
        <v>199</v>
      </c>
      <c r="B6" s="28" t="s">
        <v>216</v>
      </c>
      <c r="H6" s="29"/>
    </row>
    <row r="7" spans="1:11">
      <c r="A7" s="28" t="s">
        <v>200</v>
      </c>
      <c r="B7" s="28" t="s">
        <v>217</v>
      </c>
      <c r="H7" s="29"/>
    </row>
    <row r="8" spans="1:11">
      <c r="A8" s="28" t="s">
        <v>201</v>
      </c>
      <c r="B8" s="28" t="s">
        <v>218</v>
      </c>
      <c r="H8" s="29"/>
    </row>
    <row r="9" spans="1:11">
      <c r="A9" s="28" t="s">
        <v>202</v>
      </c>
      <c r="B9" s="28" t="s">
        <v>219</v>
      </c>
      <c r="H9" s="29"/>
    </row>
    <row r="10" spans="1:11">
      <c r="A10" s="28" t="s">
        <v>203</v>
      </c>
      <c r="B10" s="28" t="s">
        <v>220</v>
      </c>
      <c r="H10" s="29"/>
    </row>
    <row r="11" spans="1:11">
      <c r="A11" s="28" t="s">
        <v>204</v>
      </c>
      <c r="B11" s="28" t="s">
        <v>221</v>
      </c>
      <c r="H11" s="29"/>
    </row>
    <row r="12" spans="1:11">
      <c r="A12" s="28" t="s">
        <v>205</v>
      </c>
      <c r="B12" s="28" t="s">
        <v>222</v>
      </c>
      <c r="H12" s="29"/>
    </row>
    <row r="13" spans="1:11">
      <c r="A13" s="28" t="s">
        <v>206</v>
      </c>
      <c r="B13" s="28" t="s">
        <v>223</v>
      </c>
      <c r="H13" s="29"/>
    </row>
    <row r="14" spans="1:11">
      <c r="A14" s="28" t="s">
        <v>207</v>
      </c>
      <c r="B14" s="28" t="s">
        <v>224</v>
      </c>
      <c r="H14" s="29"/>
    </row>
    <row r="15" spans="1:11">
      <c r="A15" s="28" t="s">
        <v>208</v>
      </c>
      <c r="B15" s="28" t="s">
        <v>225</v>
      </c>
      <c r="H15" s="29"/>
    </row>
    <row r="16" spans="1:11">
      <c r="A16" s="28" t="s">
        <v>209</v>
      </c>
      <c r="B16" s="28" t="s">
        <v>226</v>
      </c>
      <c r="H16" s="29"/>
    </row>
    <row r="17" spans="1:16">
      <c r="A17" s="28" t="s">
        <v>210</v>
      </c>
      <c r="B17" s="28" t="s">
        <v>227</v>
      </c>
    </row>
    <row r="18" spans="1:16">
      <c r="A18" s="28" t="s">
        <v>118</v>
      </c>
      <c r="B18" s="28" t="s">
        <v>228</v>
      </c>
    </row>
    <row r="19" spans="1:16" ht="15" thickBot="1"/>
    <row r="20" spans="1:16" ht="15.6" thickTop="1" thickBot="1">
      <c r="A20" s="4" t="s">
        <v>229</v>
      </c>
      <c r="B20" s="3" t="s">
        <v>230</v>
      </c>
    </row>
    <row r="21" spans="1:16" ht="15" thickTop="1">
      <c r="A21" s="28" t="s">
        <v>197</v>
      </c>
      <c r="B21" s="28" t="s">
        <v>198</v>
      </c>
      <c r="C21" s="28" t="s">
        <v>55</v>
      </c>
      <c r="D21" s="28" t="s">
        <v>199</v>
      </c>
      <c r="E21" s="28" t="s">
        <v>200</v>
      </c>
      <c r="F21" s="32" t="s">
        <v>201</v>
      </c>
      <c r="G21" s="28" t="s">
        <v>202</v>
      </c>
      <c r="H21" s="28" t="s">
        <v>203</v>
      </c>
      <c r="I21" s="28" t="s">
        <v>204</v>
      </c>
      <c r="J21" s="28" t="s">
        <v>205</v>
      </c>
      <c r="K21" s="28" t="s">
        <v>206</v>
      </c>
      <c r="L21" s="28" t="s">
        <v>207</v>
      </c>
      <c r="M21" s="28" t="s">
        <v>208</v>
      </c>
      <c r="N21" s="28" t="s">
        <v>209</v>
      </c>
      <c r="O21" s="28" t="s">
        <v>210</v>
      </c>
      <c r="P21" s="28" t="s">
        <v>118</v>
      </c>
    </row>
    <row r="22" spans="1:16">
      <c r="A22" s="34" t="s">
        <v>231</v>
      </c>
      <c r="B22" s="34" t="s">
        <v>232</v>
      </c>
      <c r="C22" s="34" t="s">
        <v>233</v>
      </c>
      <c r="D22" s="34">
        <v>-110.5231</v>
      </c>
      <c r="E22" s="34">
        <v>36.744999999999997</v>
      </c>
      <c r="F22" s="34">
        <v>542</v>
      </c>
      <c r="G22" s="35" t="s">
        <v>234</v>
      </c>
      <c r="H22" s="35"/>
      <c r="I22" s="34">
        <v>1793</v>
      </c>
      <c r="J22" s="34">
        <v>2016</v>
      </c>
      <c r="K22" s="34" t="s">
        <v>235</v>
      </c>
      <c r="L22" t="s">
        <v>236</v>
      </c>
      <c r="N22" t="s">
        <v>237</v>
      </c>
      <c r="O22" t="s">
        <v>238</v>
      </c>
    </row>
    <row r="23" spans="1:16">
      <c r="A23" s="34" t="s">
        <v>239</v>
      </c>
      <c r="B23" s="34" t="s">
        <v>240</v>
      </c>
      <c r="C23" s="34" t="s">
        <v>241</v>
      </c>
      <c r="D23" s="34">
        <v>13.627000000000001</v>
      </c>
      <c r="E23" s="34">
        <v>52.418999999999997</v>
      </c>
      <c r="F23" s="34">
        <v>123</v>
      </c>
      <c r="G23" s="35" t="s">
        <v>242</v>
      </c>
      <c r="H23" s="35"/>
      <c r="I23" s="34">
        <v>1879</v>
      </c>
      <c r="J23" s="34">
        <v>2016</v>
      </c>
      <c r="K23" s="34" t="s">
        <v>235</v>
      </c>
      <c r="L23" t="s">
        <v>236</v>
      </c>
    </row>
    <row r="24" spans="1:16">
      <c r="A24" t="s">
        <v>243</v>
      </c>
      <c r="B24" t="s">
        <v>244</v>
      </c>
      <c r="C24" t="s">
        <v>245</v>
      </c>
      <c r="D24" s="33">
        <v>-24.216666669999999</v>
      </c>
      <c r="E24" s="33">
        <v>-65.133333329999999</v>
      </c>
      <c r="F24">
        <v>1893</v>
      </c>
      <c r="G24" t="s">
        <v>246</v>
      </c>
      <c r="I24">
        <v>1875</v>
      </c>
      <c r="J24">
        <v>2003</v>
      </c>
      <c r="K24" t="s">
        <v>247</v>
      </c>
      <c r="L24" t="s">
        <v>248</v>
      </c>
    </row>
    <row r="25" spans="1:16">
      <c r="A25" t="s">
        <v>249</v>
      </c>
      <c r="B25" t="s">
        <v>250</v>
      </c>
      <c r="C25" t="s">
        <v>251</v>
      </c>
      <c r="D25" s="33">
        <v>-17.283332999999999</v>
      </c>
      <c r="E25" s="33">
        <v>145.566667</v>
      </c>
      <c r="F25">
        <v>720</v>
      </c>
      <c r="G25" t="s">
        <v>252</v>
      </c>
      <c r="I25">
        <v>1602</v>
      </c>
      <c r="J25">
        <v>2000</v>
      </c>
      <c r="K25" t="s">
        <v>247</v>
      </c>
      <c r="L25" t="s">
        <v>248</v>
      </c>
    </row>
    <row r="26" spans="1:16">
      <c r="A26" t="s">
        <v>253</v>
      </c>
      <c r="B26" t="s">
        <v>254</v>
      </c>
      <c r="C26" t="s">
        <v>255</v>
      </c>
      <c r="D26" s="33">
        <v>26.296119999999998</v>
      </c>
      <c r="E26" s="33">
        <v>-77.159467000000006</v>
      </c>
      <c r="F26">
        <v>10</v>
      </c>
      <c r="H26" t="s">
        <v>256</v>
      </c>
      <c r="I26">
        <v>1905</v>
      </c>
      <c r="J26">
        <v>2002</v>
      </c>
      <c r="K26" t="s">
        <v>257</v>
      </c>
      <c r="L26" t="s">
        <v>258</v>
      </c>
    </row>
    <row r="27" spans="1:16">
      <c r="A27" t="s">
        <v>259</v>
      </c>
      <c r="B27" t="s">
        <v>260</v>
      </c>
      <c r="C27" t="s">
        <v>261</v>
      </c>
      <c r="D27" s="33">
        <v>24.342309</v>
      </c>
      <c r="E27" s="33">
        <v>91.798300999999995</v>
      </c>
      <c r="F27">
        <v>100</v>
      </c>
      <c r="G27" t="s">
        <v>262</v>
      </c>
      <c r="I27">
        <v>1899</v>
      </c>
      <c r="J27">
        <v>2012</v>
      </c>
      <c r="K27" t="s">
        <v>263</v>
      </c>
      <c r="L27" t="s">
        <v>264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0265E4-C70D-45E8-BD94-F144249F3E79}">
  <sheetPr codeName="Sheet6"/>
  <dimension ref="A1:C51"/>
  <sheetViews>
    <sheetView workbookViewId="0">
      <selection activeCell="B2" sqref="B2"/>
    </sheetView>
  </sheetViews>
  <sheetFormatPr defaultRowHeight="14.45"/>
  <cols>
    <col min="1" max="1" width="68.85546875" customWidth="1"/>
    <col min="2" max="2" width="35.85546875" customWidth="1"/>
    <col min="3" max="3" width="20.5703125" customWidth="1"/>
    <col min="4" max="4" width="10.85546875" customWidth="1"/>
  </cols>
  <sheetData>
    <row r="1" spans="1:3">
      <c r="A1" t="s">
        <v>265</v>
      </c>
    </row>
    <row r="2" spans="1:3">
      <c r="A2" s="1" t="s">
        <v>13</v>
      </c>
      <c r="B2" t="s">
        <v>266</v>
      </c>
    </row>
    <row r="3" spans="1:3">
      <c r="A3" s="1" t="s">
        <v>15</v>
      </c>
      <c r="B3" t="s">
        <v>267</v>
      </c>
    </row>
    <row r="4" spans="1:3">
      <c r="A4" s="1" t="s">
        <v>17</v>
      </c>
      <c r="B4" t="s">
        <v>268</v>
      </c>
    </row>
    <row r="5" spans="1:3">
      <c r="A5" s="1" t="s">
        <v>19</v>
      </c>
      <c r="B5" t="s">
        <v>269</v>
      </c>
    </row>
    <row r="6" spans="1:3">
      <c r="A6" s="1" t="s">
        <v>22</v>
      </c>
      <c r="B6" t="s">
        <v>270</v>
      </c>
      <c r="C6" s="2" t="s">
        <v>271</v>
      </c>
    </row>
    <row r="7" spans="1:3">
      <c r="A7" s="1" t="s">
        <v>26</v>
      </c>
      <c r="B7" t="s">
        <v>272</v>
      </c>
    </row>
    <row r="8" spans="1:3">
      <c r="A8" s="1" t="s">
        <v>28</v>
      </c>
      <c r="B8" t="s">
        <v>273</v>
      </c>
    </row>
    <row r="9" spans="1:3">
      <c r="A9" s="1" t="s">
        <v>274</v>
      </c>
    </row>
    <row r="10" spans="1:3" ht="15" thickBot="1"/>
    <row r="11" spans="1:3" ht="15.6" thickTop="1" thickBot="1">
      <c r="A11" s="4" t="s">
        <v>31</v>
      </c>
      <c r="B11" s="5" t="s">
        <v>32</v>
      </c>
    </row>
    <row r="12" spans="1:3" ht="15" thickTop="1">
      <c r="A12" s="1" t="s">
        <v>275</v>
      </c>
      <c r="B12" t="s">
        <v>276</v>
      </c>
      <c r="C12" t="s">
        <v>277</v>
      </c>
    </row>
    <row r="13" spans="1:3">
      <c r="A13" s="1" t="s">
        <v>278</v>
      </c>
      <c r="B13" t="s">
        <v>279</v>
      </c>
      <c r="C13" t="s">
        <v>280</v>
      </c>
    </row>
    <row r="14" spans="1:3">
      <c r="A14" s="1" t="s">
        <v>37</v>
      </c>
      <c r="B14" t="s">
        <v>281</v>
      </c>
      <c r="C14" t="s">
        <v>270</v>
      </c>
    </row>
    <row r="15" spans="1:3">
      <c r="A15" s="1" t="s">
        <v>39</v>
      </c>
      <c r="B15">
        <v>2013</v>
      </c>
      <c r="C15">
        <v>2012</v>
      </c>
    </row>
    <row r="16" spans="1:3">
      <c r="A16" s="1" t="s">
        <v>40</v>
      </c>
      <c r="B16">
        <v>43</v>
      </c>
      <c r="C16">
        <v>12</v>
      </c>
    </row>
    <row r="17" spans="1:3">
      <c r="A17" s="1" t="s">
        <v>41</v>
      </c>
    </row>
    <row r="18" spans="1:3">
      <c r="A18" s="1" t="s">
        <v>42</v>
      </c>
    </row>
    <row r="19" spans="1:3">
      <c r="A19" s="1" t="s">
        <v>43</v>
      </c>
      <c r="B19" t="s">
        <v>282</v>
      </c>
      <c r="C19" t="s">
        <v>283</v>
      </c>
    </row>
    <row r="20" spans="1:3">
      <c r="A20" s="1" t="s">
        <v>284</v>
      </c>
      <c r="C20" t="s">
        <v>285</v>
      </c>
    </row>
    <row r="21" spans="1:3">
      <c r="A21" s="1" t="s">
        <v>45</v>
      </c>
      <c r="B21" t="s">
        <v>286</v>
      </c>
      <c r="C21" t="s">
        <v>287</v>
      </c>
    </row>
    <row r="22" spans="1:3">
      <c r="A22" s="1" t="s">
        <v>47</v>
      </c>
    </row>
    <row r="23" spans="1:3">
      <c r="A23" s="1" t="s">
        <v>48</v>
      </c>
      <c r="B23" t="s">
        <v>288</v>
      </c>
      <c r="C23" t="s">
        <v>289</v>
      </c>
    </row>
    <row r="24" spans="1:3">
      <c r="A24" s="1" t="s">
        <v>290</v>
      </c>
    </row>
    <row r="25" spans="1:3" ht="15" thickBot="1"/>
    <row r="26" spans="1:3" ht="15.6" thickTop="1" thickBot="1">
      <c r="A26" s="4" t="s">
        <v>51</v>
      </c>
    </row>
    <row r="27" spans="1:3" ht="15" thickTop="1">
      <c r="A27" s="1" t="s">
        <v>53</v>
      </c>
      <c r="B27" t="s">
        <v>291</v>
      </c>
    </row>
    <row r="28" spans="1:3">
      <c r="A28" s="1" t="s">
        <v>55</v>
      </c>
      <c r="B28" t="s">
        <v>292</v>
      </c>
    </row>
    <row r="29" spans="1:3">
      <c r="A29" s="1" t="s">
        <v>57</v>
      </c>
      <c r="B29">
        <v>40</v>
      </c>
    </row>
    <row r="30" spans="1:3">
      <c r="A30" s="1" t="s">
        <v>58</v>
      </c>
      <c r="B30">
        <v>-10</v>
      </c>
    </row>
    <row r="31" spans="1:3">
      <c r="A31" s="1" t="s">
        <v>60</v>
      </c>
      <c r="B31">
        <v>-12.75</v>
      </c>
    </row>
    <row r="32" spans="1:3">
      <c r="A32" s="1" t="s">
        <v>61</v>
      </c>
      <c r="B32">
        <v>15</v>
      </c>
    </row>
    <row r="33" spans="1:3">
      <c r="A33" s="1" t="s">
        <v>63</v>
      </c>
      <c r="B33">
        <v>300</v>
      </c>
    </row>
    <row r="34" spans="1:3" ht="15" thickBot="1"/>
    <row r="35" spans="1:3" ht="15.6" thickTop="1" thickBot="1">
      <c r="A35" s="4" t="s">
        <v>64</v>
      </c>
    </row>
    <row r="36" spans="1:3" ht="15" thickTop="1">
      <c r="A36" s="1" t="s">
        <v>65</v>
      </c>
      <c r="B36" t="s">
        <v>293</v>
      </c>
    </row>
    <row r="37" spans="1:3">
      <c r="A37" s="1" t="s">
        <v>67</v>
      </c>
      <c r="B37">
        <v>90000</v>
      </c>
    </row>
    <row r="38" spans="1:3">
      <c r="A38" s="1" t="s">
        <v>294</v>
      </c>
      <c r="B38">
        <v>0</v>
      </c>
    </row>
    <row r="39" spans="1:3">
      <c r="A39" s="1" t="s">
        <v>70</v>
      </c>
      <c r="B39" t="s">
        <v>295</v>
      </c>
    </row>
    <row r="40" spans="1:3">
      <c r="A40" s="1" t="s">
        <v>296</v>
      </c>
      <c r="B40" t="s">
        <v>297</v>
      </c>
      <c r="C40" s="1" t="s">
        <v>72</v>
      </c>
    </row>
    <row r="41" spans="1:3">
      <c r="A41" s="1" t="s">
        <v>75</v>
      </c>
      <c r="B41" t="s">
        <v>298</v>
      </c>
    </row>
    <row r="42" spans="1:3">
      <c r="A42" s="1" t="s">
        <v>77</v>
      </c>
    </row>
    <row r="43" spans="1:3" ht="15" thickBot="1"/>
    <row r="44" spans="1:3" ht="15.6" thickTop="1" thickBot="1">
      <c r="A44" s="4" t="s">
        <v>299</v>
      </c>
      <c r="B44" s="5" t="s">
        <v>79</v>
      </c>
    </row>
    <row r="45" spans="1:3" ht="15" thickTop="1">
      <c r="A45" s="1" t="s">
        <v>80</v>
      </c>
      <c r="B45" t="s">
        <v>300</v>
      </c>
    </row>
    <row r="46" spans="1:3">
      <c r="A46" s="1" t="s">
        <v>301</v>
      </c>
      <c r="B46" t="s">
        <v>302</v>
      </c>
    </row>
    <row r="47" spans="1:3">
      <c r="A47" s="1" t="s">
        <v>82</v>
      </c>
      <c r="B47" t="s">
        <v>303</v>
      </c>
      <c r="C47" t="s">
        <v>304</v>
      </c>
    </row>
    <row r="48" spans="1:3" ht="15" thickBot="1"/>
    <row r="49" spans="1:3" ht="15.6" thickTop="1" thickBot="1">
      <c r="A49" s="4" t="s">
        <v>83</v>
      </c>
      <c r="B49" s="5" t="s">
        <v>84</v>
      </c>
    </row>
    <row r="50" spans="1:3" ht="15" thickTop="1">
      <c r="A50" s="1" t="s">
        <v>85</v>
      </c>
      <c r="B50" t="s">
        <v>305</v>
      </c>
      <c r="C50" t="s">
        <v>306</v>
      </c>
    </row>
    <row r="51" spans="1:3">
      <c r="A51" s="1" t="s">
        <v>86</v>
      </c>
      <c r="B51" t="s">
        <v>307</v>
      </c>
      <c r="C51" t="s">
        <v>308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B04A40-2CDE-4DD2-BA60-1B965B68B804}">
  <sheetPr codeName="Sheet7"/>
  <dimension ref="A1:Q32"/>
  <sheetViews>
    <sheetView topLeftCell="A8" workbookViewId="0">
      <selection activeCell="A6" sqref="A6:B24"/>
    </sheetView>
  </sheetViews>
  <sheetFormatPr defaultColWidth="64.140625" defaultRowHeight="14.45"/>
  <cols>
    <col min="1" max="1" width="61.5703125" customWidth="1"/>
    <col min="2" max="2" width="41.85546875" customWidth="1"/>
    <col min="3" max="3" width="12.7109375" customWidth="1"/>
    <col min="4" max="13" width="8.85546875" customWidth="1"/>
    <col min="14" max="16" width="14.7109375" customWidth="1"/>
    <col min="17" max="17" width="5.5703125" customWidth="1"/>
  </cols>
  <sheetData>
    <row r="1" spans="1:2" ht="15.6" thickTop="1" thickBot="1">
      <c r="A1" s="4" t="s">
        <v>87</v>
      </c>
      <c r="B1" s="5" t="s">
        <v>309</v>
      </c>
    </row>
    <row r="2" spans="1:2" ht="15" thickTop="1">
      <c r="A2" s="1" t="s">
        <v>89</v>
      </c>
    </row>
    <row r="3" spans="1:2">
      <c r="A3" s="1" t="s">
        <v>90</v>
      </c>
    </row>
    <row r="4" spans="1:2">
      <c r="A4" s="1" t="s">
        <v>91</v>
      </c>
      <c r="B4" s="5" t="s">
        <v>92</v>
      </c>
    </row>
    <row r="5" spans="1:2">
      <c r="A5" t="s">
        <v>93</v>
      </c>
    </row>
    <row r="6" spans="1:2">
      <c r="A6" t="s">
        <v>94</v>
      </c>
      <c r="B6" t="s">
        <v>95</v>
      </c>
    </row>
    <row r="7" spans="1:2">
      <c r="A7" t="s">
        <v>96</v>
      </c>
      <c r="B7" t="s">
        <v>97</v>
      </c>
    </row>
    <row r="8" spans="1:2">
      <c r="A8" t="s">
        <v>98</v>
      </c>
      <c r="B8" t="s">
        <v>99</v>
      </c>
    </row>
    <row r="9" spans="1:2">
      <c r="A9" t="s">
        <v>100</v>
      </c>
      <c r="B9" t="s">
        <v>101</v>
      </c>
    </row>
    <row r="10" spans="1:2">
      <c r="A10" t="s">
        <v>102</v>
      </c>
      <c r="B10" t="s">
        <v>103</v>
      </c>
    </row>
    <row r="11" spans="1:2">
      <c r="A11" t="s">
        <v>104</v>
      </c>
      <c r="B11" t="s">
        <v>105</v>
      </c>
    </row>
    <row r="12" spans="1:2">
      <c r="A12" t="s">
        <v>106</v>
      </c>
      <c r="B12" t="s">
        <v>107</v>
      </c>
    </row>
    <row r="13" spans="1:2">
      <c r="A13" t="s">
        <v>310</v>
      </c>
      <c r="B13" t="s">
        <v>311</v>
      </c>
    </row>
    <row r="14" spans="1:2">
      <c r="A14" t="s">
        <v>312</v>
      </c>
      <c r="B14" t="s">
        <v>313</v>
      </c>
    </row>
    <row r="15" spans="1:2">
      <c r="A15" t="s">
        <v>314</v>
      </c>
      <c r="B15" t="s">
        <v>315</v>
      </c>
    </row>
    <row r="16" spans="1:2">
      <c r="A16" t="s">
        <v>316</v>
      </c>
      <c r="B16" t="s">
        <v>317</v>
      </c>
    </row>
    <row r="17" spans="1:17">
      <c r="A17" t="s">
        <v>108</v>
      </c>
      <c r="B17" t="s">
        <v>318</v>
      </c>
    </row>
    <row r="18" spans="1:17">
      <c r="A18" t="s">
        <v>319</v>
      </c>
      <c r="B18" t="s">
        <v>320</v>
      </c>
    </row>
    <row r="19" spans="1:17">
      <c r="A19" t="s">
        <v>321</v>
      </c>
      <c r="B19" t="s">
        <v>322</v>
      </c>
    </row>
    <row r="20" spans="1:17">
      <c r="A20" t="s">
        <v>110</v>
      </c>
      <c r="B20" t="s">
        <v>111</v>
      </c>
    </row>
    <row r="21" spans="1:17">
      <c r="A21" t="s">
        <v>112</v>
      </c>
      <c r="B21" t="s">
        <v>113</v>
      </c>
    </row>
    <row r="22" spans="1:17">
      <c r="A22" t="s">
        <v>114</v>
      </c>
      <c r="B22" t="s">
        <v>115</v>
      </c>
    </row>
    <row r="23" spans="1:17">
      <c r="A23" t="s">
        <v>116</v>
      </c>
      <c r="B23" t="s">
        <v>117</v>
      </c>
    </row>
    <row r="24" spans="1:17">
      <c r="A24" t="s">
        <v>118</v>
      </c>
      <c r="B24" t="s">
        <v>75</v>
      </c>
    </row>
    <row r="25" spans="1:17">
      <c r="A25" s="12"/>
      <c r="B25" s="3"/>
      <c r="C25" s="3"/>
      <c r="E25" s="3"/>
      <c r="F25" s="3"/>
      <c r="G25" s="3"/>
      <c r="H25" s="3"/>
      <c r="I25" s="3"/>
      <c r="J25" s="3"/>
      <c r="K25" s="3"/>
      <c r="L25" s="3"/>
      <c r="M25" s="3"/>
      <c r="N25" s="3"/>
      <c r="O25" s="3"/>
      <c r="P25" s="3"/>
      <c r="Q25" s="3"/>
    </row>
    <row r="26" spans="1:17">
      <c r="A26" s="13" t="s">
        <v>119</v>
      </c>
      <c r="B26" s="13" t="s">
        <v>96</v>
      </c>
      <c r="C26" s="13" t="s">
        <v>98</v>
      </c>
      <c r="D26" s="13" t="s">
        <v>120</v>
      </c>
      <c r="E26" s="13" t="s">
        <v>102</v>
      </c>
      <c r="F26" s="13" t="s">
        <v>121</v>
      </c>
      <c r="G26" s="13" t="s">
        <v>122</v>
      </c>
      <c r="H26" s="13" t="s">
        <v>323</v>
      </c>
      <c r="I26" s="13" t="s">
        <v>324</v>
      </c>
      <c r="J26" s="13" t="s">
        <v>325</v>
      </c>
      <c r="K26" s="13" t="s">
        <v>326</v>
      </c>
      <c r="L26" s="13" t="s">
        <v>108</v>
      </c>
      <c r="M26" s="13" t="s">
        <v>110</v>
      </c>
      <c r="N26" s="13" t="s">
        <v>112</v>
      </c>
      <c r="O26" s="13" t="s">
        <v>123</v>
      </c>
      <c r="P26" s="13" t="s">
        <v>116</v>
      </c>
      <c r="Q26" s="13" t="s">
        <v>118</v>
      </c>
    </row>
    <row r="27" spans="1:17" s="16" customFormat="1" ht="29.1">
      <c r="A27" s="15" t="s">
        <v>327</v>
      </c>
      <c r="B27" s="18">
        <v>426.5</v>
      </c>
      <c r="C27" s="18">
        <v>426.5</v>
      </c>
      <c r="D27" s="15" t="s">
        <v>328</v>
      </c>
      <c r="E27" s="15"/>
      <c r="F27" s="15"/>
      <c r="G27" s="15"/>
      <c r="H27" s="15"/>
      <c r="I27" s="15"/>
      <c r="J27" s="15"/>
      <c r="K27" s="15"/>
      <c r="L27" s="18">
        <f>10347-50</f>
        <v>10297</v>
      </c>
      <c r="M27" s="18">
        <f>L27+134</f>
        <v>10431</v>
      </c>
      <c r="N27" s="18">
        <f>L27-134</f>
        <v>10163</v>
      </c>
      <c r="O27" s="15" t="s">
        <v>329</v>
      </c>
      <c r="P27" s="15"/>
      <c r="Q27" s="15"/>
    </row>
    <row r="28" spans="1:17">
      <c r="A28" s="13" t="s">
        <v>330</v>
      </c>
      <c r="B28" s="14">
        <v>432</v>
      </c>
      <c r="C28" s="14">
        <v>433</v>
      </c>
      <c r="D28" s="13" t="s">
        <v>331</v>
      </c>
      <c r="E28" s="14">
        <v>10198</v>
      </c>
      <c r="F28" s="14">
        <v>40</v>
      </c>
      <c r="G28" s="13" t="s">
        <v>126</v>
      </c>
      <c r="H28" s="13" t="s">
        <v>332</v>
      </c>
      <c r="I28" s="13"/>
      <c r="J28" s="13"/>
      <c r="K28" s="13"/>
      <c r="L28" s="14">
        <f>10817-50</f>
        <v>10767</v>
      </c>
      <c r="M28" s="14">
        <f>L28+450</f>
        <v>11217</v>
      </c>
      <c r="N28" s="14">
        <f>L28-450</f>
        <v>10317</v>
      </c>
      <c r="O28" s="16" t="s">
        <v>333</v>
      </c>
      <c r="P28" s="13"/>
      <c r="Q28" s="13"/>
    </row>
    <row r="29" spans="1:17">
      <c r="A29" s="13" t="s">
        <v>334</v>
      </c>
      <c r="B29" s="14">
        <v>442.5</v>
      </c>
      <c r="C29" s="14">
        <v>442.5</v>
      </c>
      <c r="D29" s="13" t="s">
        <v>335</v>
      </c>
      <c r="E29" s="14">
        <v>11920</v>
      </c>
      <c r="F29" s="14">
        <v>90</v>
      </c>
      <c r="G29" s="13" t="s">
        <v>126</v>
      </c>
      <c r="H29" s="13" t="s">
        <v>332</v>
      </c>
      <c r="I29" s="13"/>
      <c r="J29" s="13"/>
      <c r="K29" s="13"/>
      <c r="L29" s="14">
        <v>13344</v>
      </c>
      <c r="M29" s="17">
        <v>13135.5</v>
      </c>
      <c r="N29" s="17">
        <v>13552.5</v>
      </c>
      <c r="O29" s="16" t="s">
        <v>333</v>
      </c>
      <c r="P29" s="13"/>
      <c r="Q29" t="s">
        <v>336</v>
      </c>
    </row>
    <row r="30" spans="1:17">
      <c r="A30" s="13" t="s">
        <v>337</v>
      </c>
      <c r="B30" s="14">
        <v>452.5</v>
      </c>
      <c r="C30" s="14">
        <v>452.5</v>
      </c>
      <c r="D30" s="13" t="s">
        <v>335</v>
      </c>
      <c r="E30" s="14">
        <v>20470</v>
      </c>
      <c r="F30" s="14">
        <v>130</v>
      </c>
      <c r="G30" s="13" t="s">
        <v>126</v>
      </c>
      <c r="H30" s="13" t="s">
        <v>332</v>
      </c>
      <c r="I30" s="13">
        <v>200</v>
      </c>
      <c r="J30" s="13">
        <v>50</v>
      </c>
      <c r="K30" s="13">
        <v>50</v>
      </c>
      <c r="L30" s="14">
        <v>23974</v>
      </c>
      <c r="M30" s="17">
        <v>23589.5</v>
      </c>
      <c r="N30" s="17">
        <v>24358.5</v>
      </c>
      <c r="O30" s="16" t="s">
        <v>333</v>
      </c>
      <c r="P30" s="13" t="s">
        <v>338</v>
      </c>
      <c r="Q30" s="13"/>
    </row>
    <row r="31" spans="1:17" ht="17.649999999999999" customHeight="1">
      <c r="A31" s="13"/>
      <c r="B31" s="14">
        <v>462.5</v>
      </c>
      <c r="C31" s="14">
        <v>462.5</v>
      </c>
      <c r="D31" s="13" t="s">
        <v>339</v>
      </c>
      <c r="E31" s="13"/>
      <c r="F31" s="13"/>
      <c r="H31" s="13"/>
      <c r="I31" s="13"/>
      <c r="J31" s="13"/>
      <c r="K31" s="13"/>
      <c r="L31" s="14">
        <v>58000</v>
      </c>
      <c r="M31" s="14"/>
      <c r="N31" s="14"/>
      <c r="O31" s="15" t="s">
        <v>340</v>
      </c>
      <c r="P31" s="13"/>
      <c r="Q31" s="13"/>
    </row>
    <row r="32" spans="1:17" ht="17.649999999999999" customHeight="1">
      <c r="A32" s="13"/>
      <c r="B32" s="14">
        <v>499</v>
      </c>
      <c r="C32" s="14">
        <v>499.5</v>
      </c>
      <c r="D32" s="13" t="s">
        <v>339</v>
      </c>
      <c r="E32" s="13"/>
      <c r="F32" s="13"/>
      <c r="H32" s="13"/>
      <c r="I32" s="13"/>
      <c r="J32" s="13"/>
      <c r="K32" s="13"/>
      <c r="L32" s="14">
        <v>66000</v>
      </c>
      <c r="M32" s="14"/>
      <c r="N32" s="14"/>
      <c r="O32" s="15" t="s">
        <v>341</v>
      </c>
      <c r="P32" s="13"/>
      <c r="Q32" s="1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669542-7802-44A1-BDA7-B733C86B1908}">
  <sheetPr codeName="Sheet9"/>
  <dimension ref="A1:U11"/>
  <sheetViews>
    <sheetView workbookViewId="0">
      <selection activeCell="C13" sqref="C13"/>
    </sheetView>
  </sheetViews>
  <sheetFormatPr defaultRowHeight="14.45"/>
  <cols>
    <col min="1" max="1" width="36.42578125" customWidth="1"/>
  </cols>
  <sheetData>
    <row r="1" spans="1:21" ht="15.6" thickTop="1" thickBot="1">
      <c r="A1" s="4" t="s">
        <v>87</v>
      </c>
      <c r="B1" s="5" t="s">
        <v>309</v>
      </c>
    </row>
    <row r="2" spans="1:21" ht="15" thickTop="1">
      <c r="A2" s="1" t="s">
        <v>89</v>
      </c>
    </row>
    <row r="3" spans="1:21">
      <c r="A3" s="1" t="s">
        <v>90</v>
      </c>
    </row>
    <row r="4" spans="1:21">
      <c r="A4" s="1" t="s">
        <v>91</v>
      </c>
      <c r="B4" s="5" t="s">
        <v>92</v>
      </c>
    </row>
    <row r="5" spans="1:21">
      <c r="A5" t="s">
        <v>342</v>
      </c>
      <c r="B5" t="s">
        <v>343</v>
      </c>
      <c r="C5" t="s">
        <v>344</v>
      </c>
      <c r="D5" t="s">
        <v>345</v>
      </c>
      <c r="E5" t="s">
        <v>346</v>
      </c>
      <c r="F5" t="s">
        <v>347</v>
      </c>
      <c r="G5" t="s">
        <v>348</v>
      </c>
      <c r="H5" t="s">
        <v>349</v>
      </c>
      <c r="I5" t="s">
        <v>350</v>
      </c>
      <c r="J5" t="s">
        <v>351</v>
      </c>
      <c r="K5" t="s">
        <v>352</v>
      </c>
      <c r="L5" t="s">
        <v>353</v>
      </c>
      <c r="M5" t="s">
        <v>354</v>
      </c>
      <c r="N5" t="s">
        <v>355</v>
      </c>
      <c r="O5" t="s">
        <v>356</v>
      </c>
      <c r="P5" t="s">
        <v>357</v>
      </c>
      <c r="Q5" t="s">
        <v>358</v>
      </c>
      <c r="R5" t="s">
        <v>359</v>
      </c>
      <c r="S5" t="s">
        <v>360</v>
      </c>
      <c r="T5" t="s">
        <v>357</v>
      </c>
      <c r="U5" t="s">
        <v>361</v>
      </c>
    </row>
    <row r="6" spans="1:21">
      <c r="A6" t="s">
        <v>362</v>
      </c>
      <c r="B6">
        <v>2</v>
      </c>
      <c r="C6">
        <v>534.1</v>
      </c>
      <c r="D6">
        <v>29.8</v>
      </c>
      <c r="E6">
        <v>3572</v>
      </c>
      <c r="F6">
        <v>72</v>
      </c>
      <c r="G6">
        <v>23</v>
      </c>
      <c r="H6">
        <v>1</v>
      </c>
      <c r="I6">
        <v>1233.2</v>
      </c>
      <c r="J6">
        <v>34.6</v>
      </c>
      <c r="K6">
        <v>9.2999999999999992E-3</v>
      </c>
      <c r="L6">
        <v>5.9999999999999995E-4</v>
      </c>
      <c r="M6">
        <v>457</v>
      </c>
      <c r="N6">
        <v>28</v>
      </c>
      <c r="O6">
        <v>370</v>
      </c>
      <c r="P6">
        <v>66</v>
      </c>
      <c r="Q6">
        <v>1234</v>
      </c>
      <c r="R6">
        <v>35</v>
      </c>
      <c r="S6">
        <v>303</v>
      </c>
      <c r="T6">
        <v>66</v>
      </c>
      <c r="U6" t="s">
        <v>363</v>
      </c>
    </row>
    <row r="7" spans="1:21">
      <c r="A7" t="s">
        <v>364</v>
      </c>
      <c r="B7">
        <v>3</v>
      </c>
      <c r="C7">
        <v>347</v>
      </c>
      <c r="D7">
        <v>0.4</v>
      </c>
      <c r="E7">
        <v>2320</v>
      </c>
      <c r="F7">
        <v>47</v>
      </c>
      <c r="G7">
        <v>23</v>
      </c>
      <c r="H7">
        <v>1</v>
      </c>
      <c r="I7">
        <v>1397.4</v>
      </c>
      <c r="J7">
        <v>2.7</v>
      </c>
      <c r="K7">
        <v>9.2999999999999992E-3</v>
      </c>
      <c r="L7">
        <v>5.9999999999999995E-4</v>
      </c>
      <c r="M7">
        <v>425</v>
      </c>
      <c r="N7">
        <v>26</v>
      </c>
      <c r="O7">
        <v>344</v>
      </c>
      <c r="P7">
        <v>63</v>
      </c>
      <c r="Q7">
        <v>1399</v>
      </c>
      <c r="R7">
        <v>3</v>
      </c>
      <c r="S7">
        <v>277</v>
      </c>
      <c r="T7">
        <v>63</v>
      </c>
      <c r="U7" t="s">
        <v>363</v>
      </c>
    </row>
    <row r="8" spans="1:21">
      <c r="A8" t="s">
        <v>365</v>
      </c>
      <c r="B8">
        <v>5</v>
      </c>
      <c r="C8">
        <v>395.9</v>
      </c>
      <c r="D8">
        <v>0.5</v>
      </c>
      <c r="E8">
        <v>46932</v>
      </c>
      <c r="F8">
        <v>941</v>
      </c>
      <c r="G8">
        <v>13</v>
      </c>
      <c r="H8">
        <v>0</v>
      </c>
      <c r="I8">
        <v>1436.5</v>
      </c>
      <c r="J8">
        <v>3</v>
      </c>
      <c r="K8">
        <v>9.6600000000000005E-2</v>
      </c>
      <c r="L8">
        <v>8.0000000000000004E-4</v>
      </c>
      <c r="M8">
        <v>4394</v>
      </c>
      <c r="N8">
        <v>39</v>
      </c>
      <c r="O8">
        <v>2978</v>
      </c>
      <c r="P8">
        <v>1004</v>
      </c>
      <c r="Q8">
        <v>1449</v>
      </c>
      <c r="R8">
        <v>5</v>
      </c>
      <c r="S8">
        <v>2911</v>
      </c>
      <c r="T8">
        <v>1004</v>
      </c>
      <c r="U8" t="s">
        <v>366</v>
      </c>
    </row>
    <row r="9" spans="1:21">
      <c r="A9" t="s">
        <v>367</v>
      </c>
      <c r="B9">
        <v>13</v>
      </c>
      <c r="C9">
        <v>423.3</v>
      </c>
      <c r="D9">
        <v>0.6</v>
      </c>
      <c r="E9">
        <v>11445</v>
      </c>
      <c r="F9">
        <v>229</v>
      </c>
      <c r="G9">
        <v>68</v>
      </c>
      <c r="H9">
        <v>1</v>
      </c>
      <c r="I9">
        <v>1325.1</v>
      </c>
      <c r="J9">
        <v>2.6</v>
      </c>
      <c r="K9">
        <v>0.1119</v>
      </c>
      <c r="L9">
        <v>5.9999999999999995E-4</v>
      </c>
      <c r="M9">
        <v>5356</v>
      </c>
      <c r="N9">
        <v>28</v>
      </c>
      <c r="O9">
        <v>5020</v>
      </c>
      <c r="P9">
        <v>239</v>
      </c>
      <c r="Q9">
        <v>1344</v>
      </c>
      <c r="R9">
        <v>3</v>
      </c>
      <c r="S9">
        <v>4953</v>
      </c>
      <c r="T9">
        <v>239</v>
      </c>
      <c r="U9" t="s">
        <v>366</v>
      </c>
    </row>
    <row r="10" spans="1:21">
      <c r="A10" t="s">
        <v>368</v>
      </c>
      <c r="B10">
        <v>25</v>
      </c>
      <c r="C10">
        <v>339.1</v>
      </c>
      <c r="D10">
        <v>0.5</v>
      </c>
      <c r="E10">
        <v>20790</v>
      </c>
      <c r="F10">
        <v>417</v>
      </c>
      <c r="G10">
        <v>18</v>
      </c>
      <c r="H10">
        <v>0</v>
      </c>
      <c r="I10">
        <v>1547.3</v>
      </c>
      <c r="J10">
        <v>3.2</v>
      </c>
      <c r="K10">
        <v>6.8199999999999997E-2</v>
      </c>
      <c r="L10">
        <v>6.9999999999999999E-4</v>
      </c>
      <c r="M10">
        <v>2952</v>
      </c>
      <c r="N10">
        <v>32</v>
      </c>
      <c r="O10">
        <v>2252</v>
      </c>
      <c r="P10">
        <v>496</v>
      </c>
      <c r="Q10">
        <v>1557</v>
      </c>
      <c r="R10">
        <v>4</v>
      </c>
      <c r="S10">
        <v>2185</v>
      </c>
      <c r="T10">
        <v>496</v>
      </c>
      <c r="U10" t="s">
        <v>366</v>
      </c>
    </row>
    <row r="11" spans="1:21">
      <c r="A11" t="s">
        <v>369</v>
      </c>
      <c r="B11">
        <v>26.5</v>
      </c>
      <c r="C11">
        <v>376.1</v>
      </c>
      <c r="D11">
        <v>0.6</v>
      </c>
      <c r="E11">
        <v>23045</v>
      </c>
      <c r="F11">
        <v>462</v>
      </c>
      <c r="G11">
        <v>34</v>
      </c>
      <c r="H11">
        <v>1</v>
      </c>
      <c r="I11">
        <v>1484.5</v>
      </c>
      <c r="J11">
        <v>3</v>
      </c>
      <c r="K11">
        <v>0.1265</v>
      </c>
      <c r="L11">
        <v>5.0000000000000001E-4</v>
      </c>
      <c r="M11">
        <v>5672</v>
      </c>
      <c r="N11">
        <v>25</v>
      </c>
      <c r="O11">
        <v>4959</v>
      </c>
      <c r="P11">
        <v>506</v>
      </c>
      <c r="Q11">
        <v>1505</v>
      </c>
      <c r="R11">
        <v>4</v>
      </c>
      <c r="S11">
        <v>4892</v>
      </c>
      <c r="T11">
        <v>506</v>
      </c>
      <c r="U11" t="s">
        <v>366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7B12B3-106A-465E-A621-3580F7037FA3}">
  <sheetPr codeName="Sheet8"/>
  <dimension ref="A1:K25"/>
  <sheetViews>
    <sheetView workbookViewId="0">
      <selection activeCell="A4" sqref="A4"/>
    </sheetView>
  </sheetViews>
  <sheetFormatPr defaultRowHeight="14.45"/>
  <cols>
    <col min="1" max="1" width="15.140625" customWidth="1"/>
    <col min="2" max="2" width="18" customWidth="1"/>
    <col min="3" max="3" width="10.140625" customWidth="1"/>
    <col min="4" max="4" width="19.5703125" customWidth="1"/>
    <col min="5" max="5" width="15" customWidth="1"/>
    <col min="7" max="7" width="19.5703125" customWidth="1"/>
    <col min="8" max="8" width="9.7109375" customWidth="1"/>
    <col min="9" max="9" width="19.140625" customWidth="1"/>
    <col min="10" max="10" width="10" customWidth="1"/>
    <col min="11" max="11" width="21.42578125" customWidth="1"/>
  </cols>
  <sheetData>
    <row r="1" spans="1:11" ht="15.6" thickTop="1" thickBot="1">
      <c r="A1" s="20" t="s">
        <v>129</v>
      </c>
      <c r="B1" s="21" t="s">
        <v>370</v>
      </c>
      <c r="C1" s="22"/>
      <c r="D1" s="22"/>
      <c r="E1" s="22" t="s">
        <v>371</v>
      </c>
      <c r="F1" s="23" t="s">
        <v>372</v>
      </c>
      <c r="G1" s="23" t="s">
        <v>373</v>
      </c>
      <c r="H1" s="22"/>
      <c r="I1" s="22"/>
      <c r="J1" s="22"/>
      <c r="K1" s="22"/>
    </row>
    <row r="2" spans="1:11" ht="15.6" thickTop="1" thickBot="1">
      <c r="A2" s="24" t="s">
        <v>132</v>
      </c>
      <c r="B2" s="24" t="s">
        <v>133</v>
      </c>
      <c r="C2" s="24" t="s">
        <v>134</v>
      </c>
      <c r="D2" s="24" t="s">
        <v>135</v>
      </c>
      <c r="E2" s="24" t="s">
        <v>136</v>
      </c>
      <c r="F2" s="24" t="s">
        <v>137</v>
      </c>
      <c r="G2" s="24" t="s">
        <v>22</v>
      </c>
      <c r="H2" s="24" t="s">
        <v>138</v>
      </c>
      <c r="I2" s="24" t="s">
        <v>139</v>
      </c>
      <c r="J2" s="25" t="s">
        <v>140</v>
      </c>
      <c r="K2" s="25" t="s">
        <v>141</v>
      </c>
    </row>
    <row r="3" spans="1:11" ht="15" thickTop="1">
      <c r="A3" s="26" t="s">
        <v>343</v>
      </c>
      <c r="B3" s="26" t="s">
        <v>143</v>
      </c>
      <c r="C3" s="26"/>
      <c r="D3" s="26"/>
      <c r="E3" s="26" t="s">
        <v>374</v>
      </c>
      <c r="F3" s="26"/>
      <c r="G3" s="26" t="s">
        <v>375</v>
      </c>
      <c r="H3" s="26"/>
      <c r="I3" s="26"/>
      <c r="J3" s="26" t="s">
        <v>147</v>
      </c>
      <c r="K3" s="22"/>
    </row>
    <row r="4" spans="1:11">
      <c r="A4" s="22" t="s">
        <v>376</v>
      </c>
      <c r="B4" s="22" t="s">
        <v>151</v>
      </c>
      <c r="C4" s="22"/>
      <c r="D4" s="22"/>
      <c r="E4" s="22" t="s">
        <v>377</v>
      </c>
      <c r="F4" s="22"/>
      <c r="G4" s="26" t="s">
        <v>375</v>
      </c>
      <c r="H4" s="22"/>
      <c r="I4" s="22"/>
      <c r="J4" s="22" t="s">
        <v>147</v>
      </c>
      <c r="K4" s="22"/>
    </row>
    <row r="5" spans="1:11">
      <c r="A5" s="26" t="s">
        <v>378</v>
      </c>
      <c r="B5" s="26" t="s">
        <v>379</v>
      </c>
      <c r="C5" s="26" t="s">
        <v>380</v>
      </c>
      <c r="D5" s="26"/>
      <c r="E5" s="26" t="s">
        <v>381</v>
      </c>
      <c r="F5" s="26"/>
      <c r="G5" s="26" t="s">
        <v>375</v>
      </c>
      <c r="H5" s="26" t="s">
        <v>382</v>
      </c>
      <c r="I5" s="26" t="s">
        <v>383</v>
      </c>
      <c r="J5" s="26" t="s">
        <v>147</v>
      </c>
      <c r="K5" s="26" t="s">
        <v>384</v>
      </c>
    </row>
    <row r="6" spans="1:11">
      <c r="A6" s="26" t="s">
        <v>385</v>
      </c>
      <c r="B6" s="26" t="s">
        <v>379</v>
      </c>
      <c r="C6" s="26" t="str">
        <f>C5</f>
        <v>Porites sp.</v>
      </c>
      <c r="D6" s="26" t="s">
        <v>386</v>
      </c>
      <c r="E6" s="26" t="s">
        <v>381</v>
      </c>
      <c r="F6" s="26"/>
      <c r="G6" s="26" t="s">
        <v>375</v>
      </c>
      <c r="H6" s="26" t="s">
        <v>382</v>
      </c>
      <c r="I6" s="26" t="s">
        <v>383</v>
      </c>
      <c r="J6" s="26" t="s">
        <v>147</v>
      </c>
      <c r="K6" s="26" t="s">
        <v>384</v>
      </c>
    </row>
    <row r="7" spans="1:11">
      <c r="A7" s="26" t="s">
        <v>387</v>
      </c>
      <c r="B7" s="26" t="s">
        <v>388</v>
      </c>
      <c r="C7" s="26" t="s">
        <v>389</v>
      </c>
      <c r="D7" s="26"/>
      <c r="E7" s="26" t="s">
        <v>390</v>
      </c>
      <c r="F7" s="26" t="s">
        <v>391</v>
      </c>
      <c r="G7" s="26" t="s">
        <v>375</v>
      </c>
      <c r="H7" s="26" t="s">
        <v>392</v>
      </c>
      <c r="I7" s="26" t="s">
        <v>393</v>
      </c>
      <c r="J7" s="26" t="s">
        <v>147</v>
      </c>
      <c r="K7" s="26" t="s">
        <v>394</v>
      </c>
    </row>
    <row r="8" spans="1:11">
      <c r="A8" s="26" t="s">
        <v>395</v>
      </c>
      <c r="B8" s="26" t="s">
        <v>396</v>
      </c>
      <c r="C8" s="26" t="s">
        <v>388</v>
      </c>
      <c r="D8" s="26"/>
      <c r="E8" s="26" t="s">
        <v>397</v>
      </c>
      <c r="F8" s="26" t="s">
        <v>398</v>
      </c>
      <c r="G8" s="26" t="s">
        <v>399</v>
      </c>
      <c r="H8" s="26"/>
      <c r="I8" s="26" t="s">
        <v>400</v>
      </c>
      <c r="J8" s="26" t="s">
        <v>147</v>
      </c>
      <c r="K8" s="22"/>
    </row>
    <row r="9" spans="1:11" ht="15" thickBot="1">
      <c r="A9" s="22"/>
      <c r="B9" s="22"/>
      <c r="C9" s="22"/>
      <c r="D9" s="22"/>
      <c r="E9" s="22"/>
      <c r="F9" s="22"/>
      <c r="G9" s="22"/>
      <c r="H9" s="22"/>
      <c r="I9" s="22"/>
      <c r="J9" s="22"/>
      <c r="K9" s="22"/>
    </row>
    <row r="10" spans="1:11" ht="15.6" thickTop="1" thickBot="1">
      <c r="A10" s="20" t="s">
        <v>191</v>
      </c>
      <c r="B10" s="21" t="s">
        <v>401</v>
      </c>
      <c r="C10" s="22"/>
      <c r="D10" s="22"/>
      <c r="E10" s="22"/>
      <c r="F10" s="22"/>
      <c r="G10" s="22"/>
      <c r="H10" s="22"/>
      <c r="I10" s="22"/>
      <c r="J10" s="22"/>
      <c r="K10" s="22"/>
    </row>
    <row r="11" spans="1:11" ht="15.6" thickTop="1" thickBot="1">
      <c r="A11" s="20" t="s">
        <v>402</v>
      </c>
      <c r="B11" s="22">
        <v>-999</v>
      </c>
      <c r="C11" s="22"/>
      <c r="D11" s="21" t="s">
        <v>194</v>
      </c>
      <c r="E11" s="22"/>
      <c r="F11" s="22"/>
      <c r="G11" s="22"/>
      <c r="H11" s="22"/>
      <c r="I11" s="22"/>
      <c r="J11" s="22"/>
      <c r="K11" s="22"/>
    </row>
    <row r="12" spans="1:11" ht="15" thickTop="1">
      <c r="A12" s="26" t="s">
        <v>343</v>
      </c>
      <c r="B12" s="22" t="s">
        <v>376</v>
      </c>
      <c r="C12" s="26" t="s">
        <v>378</v>
      </c>
      <c r="D12" s="26" t="s">
        <v>385</v>
      </c>
      <c r="E12" s="26" t="s">
        <v>387</v>
      </c>
      <c r="F12" s="22" t="s">
        <v>395</v>
      </c>
      <c r="G12" s="22"/>
      <c r="H12" s="22"/>
      <c r="I12" s="22"/>
      <c r="J12" s="22"/>
      <c r="K12" s="22"/>
    </row>
    <row r="13" spans="1:11">
      <c r="A13" s="22">
        <v>100</v>
      </c>
      <c r="B13" s="22">
        <v>1860</v>
      </c>
      <c r="C13" s="27">
        <v>1.5671961919999999</v>
      </c>
      <c r="D13" s="27">
        <v>0.12537569535999998</v>
      </c>
      <c r="E13" s="19">
        <v>8.9719999999999995</v>
      </c>
      <c r="F13" s="22">
        <v>16.5</v>
      </c>
      <c r="G13" s="22"/>
      <c r="H13" s="22"/>
      <c r="I13" s="22"/>
      <c r="J13" s="22"/>
      <c r="K13" s="22"/>
    </row>
    <row r="14" spans="1:11">
      <c r="A14" s="22">
        <v>110</v>
      </c>
      <c r="B14" s="22">
        <v>1861</v>
      </c>
      <c r="C14" s="27">
        <v>1.4434169450000001</v>
      </c>
      <c r="D14" s="27">
        <v>0.11547335560000001</v>
      </c>
      <c r="E14" s="22">
        <v>9.0619999999999994</v>
      </c>
      <c r="F14" s="22">
        <v>17</v>
      </c>
      <c r="G14" s="22"/>
      <c r="H14" s="22"/>
      <c r="I14" s="22"/>
      <c r="J14" s="22"/>
      <c r="K14" s="22"/>
    </row>
    <row r="15" spans="1:11">
      <c r="A15" s="22">
        <v>120</v>
      </c>
      <c r="B15" s="22">
        <v>1862</v>
      </c>
      <c r="C15" s="27">
        <v>1.7904150000000001</v>
      </c>
      <c r="D15" s="27">
        <v>0.1432332</v>
      </c>
      <c r="E15" s="22">
        <v>9.1259999999999994</v>
      </c>
      <c r="F15" s="22">
        <v>17.3</v>
      </c>
      <c r="G15" s="22"/>
      <c r="H15" s="22"/>
      <c r="I15" s="22"/>
      <c r="J15" s="22"/>
      <c r="K15" s="22"/>
    </row>
    <row r="16" spans="1:11">
      <c r="A16" s="22">
        <v>130</v>
      </c>
      <c r="B16" s="22">
        <v>1863</v>
      </c>
      <c r="C16" s="27">
        <v>3.0155104000000001</v>
      </c>
      <c r="D16" s="27">
        <v>0.24124083200000002</v>
      </c>
      <c r="E16" s="22">
        <v>9.1690000000000005</v>
      </c>
      <c r="F16" s="22">
        <v>17.399999999999999</v>
      </c>
      <c r="G16" s="22"/>
      <c r="H16" s="22"/>
      <c r="I16" s="22"/>
      <c r="J16" s="22"/>
      <c r="K16" s="22"/>
    </row>
    <row r="17" spans="1:11">
      <c r="A17" s="22">
        <v>140</v>
      </c>
      <c r="B17" s="22">
        <v>1864</v>
      </c>
      <c r="C17" s="27">
        <v>2.9976883000000001</v>
      </c>
      <c r="D17" s="27">
        <v>0.23981506400000002</v>
      </c>
      <c r="E17" s="22">
        <v>8.9510000000000005</v>
      </c>
      <c r="F17" s="22">
        <v>16.5</v>
      </c>
      <c r="G17" s="22"/>
      <c r="H17" s="22"/>
      <c r="I17" s="22"/>
      <c r="J17" s="22"/>
      <c r="K17" s="22"/>
    </row>
    <row r="18" spans="1:11">
      <c r="A18" s="22">
        <v>150</v>
      </c>
      <c r="B18" s="22">
        <v>1865</v>
      </c>
      <c r="C18" s="27">
        <v>2.5760877999999998</v>
      </c>
      <c r="D18" s="27">
        <v>0.20608702399999998</v>
      </c>
      <c r="E18" s="22">
        <v>8.8539999999999992</v>
      </c>
      <c r="F18" s="22">
        <v>16.5</v>
      </c>
      <c r="G18" s="22"/>
      <c r="H18" s="22"/>
      <c r="I18" s="22"/>
      <c r="J18" s="22"/>
      <c r="K18" s="22"/>
    </row>
    <row r="19" spans="1:11">
      <c r="A19" s="22">
        <v>160</v>
      </c>
      <c r="B19" s="22">
        <v>1866</v>
      </c>
      <c r="C19" s="27">
        <v>2.0743605999999999</v>
      </c>
      <c r="D19" s="27">
        <v>0.16594884799999998</v>
      </c>
      <c r="E19" s="19">
        <v>8.9719999999999995</v>
      </c>
      <c r="F19" s="22">
        <v>16.5</v>
      </c>
      <c r="G19" s="22"/>
      <c r="H19" s="22"/>
      <c r="I19" s="22"/>
      <c r="J19" s="22"/>
      <c r="K19" s="22"/>
    </row>
    <row r="20" spans="1:11">
      <c r="A20" s="22">
        <v>170</v>
      </c>
      <c r="B20" s="22">
        <v>1867</v>
      </c>
      <c r="C20" s="27">
        <v>2.2605585000000001</v>
      </c>
      <c r="D20" s="27">
        <v>0.18084468000000001</v>
      </c>
      <c r="E20" s="22">
        <v>9.0619999999999994</v>
      </c>
      <c r="F20" s="22">
        <v>16.5</v>
      </c>
      <c r="G20" s="22"/>
      <c r="H20" s="22"/>
      <c r="I20" s="22"/>
      <c r="J20" s="22"/>
      <c r="K20" s="22"/>
    </row>
    <row r="21" spans="1:11">
      <c r="A21" s="22">
        <v>180</v>
      </c>
      <c r="B21" s="22">
        <v>1868</v>
      </c>
      <c r="C21" s="27">
        <v>3.2988282999999998</v>
      </c>
      <c r="D21" s="27">
        <v>0.263906264</v>
      </c>
      <c r="E21" s="22">
        <v>9.1259999999999994</v>
      </c>
      <c r="F21" s="22">
        <v>17.3</v>
      </c>
      <c r="G21" s="22"/>
      <c r="H21" s="22"/>
      <c r="I21" s="22"/>
      <c r="J21" s="22"/>
      <c r="K21" s="22"/>
    </row>
    <row r="22" spans="1:11">
      <c r="A22" s="22">
        <v>190</v>
      </c>
      <c r="B22" s="22">
        <v>1869</v>
      </c>
      <c r="C22" s="27">
        <v>2.6462824999999999</v>
      </c>
      <c r="D22" s="27">
        <v>0.21170259999999999</v>
      </c>
      <c r="E22" s="22">
        <v>9.1690000000000005</v>
      </c>
      <c r="F22" s="22">
        <v>17.399999999999999</v>
      </c>
      <c r="G22" s="22"/>
      <c r="H22" s="22"/>
      <c r="I22" s="22"/>
      <c r="J22" s="22"/>
      <c r="K22" s="22"/>
    </row>
    <row r="23" spans="1:11">
      <c r="A23" s="22">
        <v>200</v>
      </c>
      <c r="B23" s="22">
        <v>1870</v>
      </c>
      <c r="C23" s="27">
        <v>1.0812298</v>
      </c>
      <c r="D23" s="27">
        <v>8.6498383999999998E-2</v>
      </c>
      <c r="E23" s="22">
        <v>8.9510000000000005</v>
      </c>
      <c r="F23" s="22">
        <v>16.5</v>
      </c>
      <c r="G23" s="22"/>
      <c r="H23" s="22"/>
      <c r="I23" s="22"/>
      <c r="J23" s="22"/>
      <c r="K23" s="22"/>
    </row>
    <row r="24" spans="1:11">
      <c r="A24" s="22">
        <v>210</v>
      </c>
      <c r="B24" s="22">
        <v>1871</v>
      </c>
      <c r="C24" s="27">
        <v>1.0614752999999999</v>
      </c>
      <c r="D24" s="27">
        <v>8.4918023999999995E-2</v>
      </c>
      <c r="E24" s="22">
        <v>8.8539999999999992</v>
      </c>
      <c r="F24" s="22">
        <v>16.5</v>
      </c>
      <c r="G24" s="22"/>
      <c r="H24" s="22"/>
      <c r="I24" s="22"/>
      <c r="J24" s="22"/>
      <c r="K24" s="22"/>
    </row>
    <row r="25" spans="1:11">
      <c r="A25" s="22">
        <v>220</v>
      </c>
      <c r="B25" s="22">
        <v>1872</v>
      </c>
      <c r="C25" s="27">
        <v>2.0738408000000002</v>
      </c>
      <c r="D25" s="27">
        <v>0.16590726400000003</v>
      </c>
      <c r="E25" s="22">
        <v>9.1180000000000003</v>
      </c>
      <c r="F25" s="22">
        <v>17</v>
      </c>
      <c r="G25" s="22"/>
      <c r="H25" s="22"/>
      <c r="I25" s="22"/>
      <c r="J25" s="22"/>
      <c r="K25" s="22"/>
    </row>
  </sheetData>
  <hyperlinks>
    <hyperlink ref="G1" r:id="rId1" xr:uid="{2D0AC114-E8F5-4B4A-95F4-15764E6F670D}"/>
    <hyperlink ref="F1" r:id="rId2" xr:uid="{DB8D5A0F-1961-42D6-9F40-37423D4A72C9}"/>
  </hyperlinks>
  <pageMargins left="0.7" right="0.7" top="0.75" bottom="0.75" header="0.3" footer="0.3"/>
  <pageSetup orientation="portrait" horizontalDpi="1200" verticalDpi="1200"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51FB2E-99D6-4365-9ECD-600ECF482C5D}">
  <sheetPr codeName="Sheet2"/>
  <dimension ref="A1:V129"/>
  <sheetViews>
    <sheetView workbookViewId="0">
      <selection activeCell="Q3" sqref="Q3"/>
    </sheetView>
  </sheetViews>
  <sheetFormatPr defaultRowHeight="14.45"/>
  <cols>
    <col min="2" max="2" width="20.7109375" customWidth="1"/>
    <col min="4" max="4" width="12.5703125" customWidth="1"/>
    <col min="5" max="5" width="11.42578125" customWidth="1"/>
    <col min="6" max="6" width="17.140625" customWidth="1"/>
    <col min="13" max="13" width="17.42578125" customWidth="1"/>
    <col min="14" max="14" width="13.28515625" customWidth="1"/>
    <col min="18" max="18" width="11.5703125" customWidth="1"/>
    <col min="19" max="19" width="10.7109375" customWidth="1"/>
  </cols>
  <sheetData>
    <row r="1" spans="1:22">
      <c r="A1" s="3" t="s">
        <v>403</v>
      </c>
      <c r="C1" s="1" t="s">
        <v>404</v>
      </c>
      <c r="D1" s="1" t="s">
        <v>405</v>
      </c>
      <c r="E1" s="1" t="s">
        <v>406</v>
      </c>
      <c r="F1" s="1" t="s">
        <v>407</v>
      </c>
      <c r="G1" s="1" t="s">
        <v>408</v>
      </c>
      <c r="H1" s="1" t="s">
        <v>409</v>
      </c>
      <c r="I1" s="1" t="s">
        <v>410</v>
      </c>
      <c r="J1" s="1" t="s">
        <v>411</v>
      </c>
      <c r="K1" s="1" t="s">
        <v>412</v>
      </c>
      <c r="L1" s="6" t="s">
        <v>413</v>
      </c>
      <c r="M1" s="1" t="s">
        <v>414</v>
      </c>
      <c r="N1" s="1" t="s">
        <v>415</v>
      </c>
      <c r="O1" s="1" t="s">
        <v>416</v>
      </c>
      <c r="P1" s="1" t="s">
        <v>417</v>
      </c>
      <c r="Q1" s="1" t="s">
        <v>418</v>
      </c>
      <c r="R1" s="1" t="s">
        <v>419</v>
      </c>
      <c r="S1" s="1" t="s">
        <v>420</v>
      </c>
      <c r="T1" s="1" t="s">
        <v>421</v>
      </c>
      <c r="U1" s="1" t="s">
        <v>422</v>
      </c>
      <c r="V1" s="1" t="s">
        <v>423</v>
      </c>
    </row>
    <row r="2" spans="1:22">
      <c r="D2" t="s">
        <v>73</v>
      </c>
      <c r="E2" t="s">
        <v>424</v>
      </c>
      <c r="F2" t="s">
        <v>425</v>
      </c>
      <c r="G2" t="s">
        <v>425</v>
      </c>
      <c r="H2" t="s">
        <v>426</v>
      </c>
      <c r="I2" t="s">
        <v>427</v>
      </c>
      <c r="J2" t="s">
        <v>425</v>
      </c>
      <c r="K2" t="s">
        <v>428</v>
      </c>
      <c r="L2" t="s">
        <v>429</v>
      </c>
      <c r="M2" t="s">
        <v>425</v>
      </c>
      <c r="N2" t="s">
        <v>425</v>
      </c>
      <c r="O2" t="s">
        <v>425</v>
      </c>
      <c r="P2" t="s">
        <v>425</v>
      </c>
      <c r="Q2" t="s">
        <v>430</v>
      </c>
      <c r="R2" t="s">
        <v>425</v>
      </c>
      <c r="S2" t="s">
        <v>431</v>
      </c>
      <c r="T2" t="s">
        <v>432</v>
      </c>
      <c r="U2" t="s">
        <v>433</v>
      </c>
      <c r="V2" t="s">
        <v>433</v>
      </c>
    </row>
    <row r="3" spans="1:22">
      <c r="A3" s="7" t="s">
        <v>434</v>
      </c>
      <c r="D3" t="s">
        <v>435</v>
      </c>
      <c r="E3" t="s">
        <v>436</v>
      </c>
      <c r="F3" t="s">
        <v>431</v>
      </c>
      <c r="G3" t="s">
        <v>435</v>
      </c>
      <c r="H3" t="s">
        <v>437</v>
      </c>
      <c r="I3" t="s">
        <v>438</v>
      </c>
      <c r="J3" t="s">
        <v>439</v>
      </c>
      <c r="K3" t="s">
        <v>435</v>
      </c>
      <c r="L3" t="s">
        <v>440</v>
      </c>
      <c r="M3" t="s">
        <v>441</v>
      </c>
      <c r="N3" t="s">
        <v>431</v>
      </c>
      <c r="O3" t="s">
        <v>428</v>
      </c>
      <c r="P3" t="s">
        <v>73</v>
      </c>
      <c r="Q3" t="s">
        <v>442</v>
      </c>
      <c r="R3" t="s">
        <v>431</v>
      </c>
      <c r="S3" t="s">
        <v>443</v>
      </c>
      <c r="T3" t="s">
        <v>442</v>
      </c>
    </row>
    <row r="4" spans="1:22">
      <c r="A4" s="7" t="s">
        <v>444</v>
      </c>
      <c r="E4" t="s">
        <v>445</v>
      </c>
      <c r="F4" t="s">
        <v>73</v>
      </c>
      <c r="G4" t="s">
        <v>446</v>
      </c>
      <c r="H4" t="s">
        <v>447</v>
      </c>
      <c r="I4" t="s">
        <v>448</v>
      </c>
      <c r="J4" t="s">
        <v>449</v>
      </c>
      <c r="L4" t="s">
        <v>450</v>
      </c>
      <c r="M4" t="s">
        <v>431</v>
      </c>
      <c r="N4" t="s">
        <v>451</v>
      </c>
      <c r="O4" t="s">
        <v>435</v>
      </c>
      <c r="P4" t="s">
        <v>428</v>
      </c>
      <c r="Q4" t="s">
        <v>452</v>
      </c>
      <c r="R4" t="s">
        <v>451</v>
      </c>
      <c r="S4" t="s">
        <v>453</v>
      </c>
      <c r="T4" t="s">
        <v>454</v>
      </c>
    </row>
    <row r="5" spans="1:22">
      <c r="A5" s="7" t="s">
        <v>455</v>
      </c>
      <c r="E5" t="s">
        <v>435</v>
      </c>
      <c r="F5" t="s">
        <v>456</v>
      </c>
      <c r="I5" t="s">
        <v>457</v>
      </c>
      <c r="J5" t="s">
        <v>431</v>
      </c>
      <c r="L5" t="s">
        <v>458</v>
      </c>
      <c r="M5" t="s">
        <v>451</v>
      </c>
      <c r="N5" t="s">
        <v>453</v>
      </c>
      <c r="P5" t="s">
        <v>435</v>
      </c>
      <c r="Q5" t="s">
        <v>459</v>
      </c>
      <c r="R5" t="s">
        <v>460</v>
      </c>
      <c r="S5" t="s">
        <v>456</v>
      </c>
      <c r="T5" t="s">
        <v>461</v>
      </c>
    </row>
    <row r="6" spans="1:22">
      <c r="A6" s="7" t="s">
        <v>462</v>
      </c>
      <c r="F6" t="s">
        <v>463</v>
      </c>
      <c r="I6" t="s">
        <v>464</v>
      </c>
      <c r="J6" t="s">
        <v>465</v>
      </c>
      <c r="L6" t="s">
        <v>466</v>
      </c>
      <c r="M6" t="s">
        <v>460</v>
      </c>
      <c r="N6" t="s">
        <v>459</v>
      </c>
      <c r="Q6" t="s">
        <v>467</v>
      </c>
      <c r="R6" t="s">
        <v>456</v>
      </c>
      <c r="S6" t="s">
        <v>468</v>
      </c>
    </row>
    <row r="7" spans="1:22">
      <c r="A7" s="7" t="s">
        <v>469</v>
      </c>
      <c r="F7" t="s">
        <v>465</v>
      </c>
      <c r="J7" t="s">
        <v>470</v>
      </c>
      <c r="M7" t="s">
        <v>471</v>
      </c>
      <c r="N7" t="s">
        <v>471</v>
      </c>
      <c r="Q7" t="s">
        <v>472</v>
      </c>
      <c r="R7" t="s">
        <v>463</v>
      </c>
    </row>
    <row r="8" spans="1:22">
      <c r="A8" s="7" t="s">
        <v>473</v>
      </c>
      <c r="J8" t="s">
        <v>474</v>
      </c>
      <c r="M8" t="s">
        <v>475</v>
      </c>
      <c r="N8" t="s">
        <v>474</v>
      </c>
      <c r="Q8" t="s">
        <v>476</v>
      </c>
      <c r="R8" t="s">
        <v>435</v>
      </c>
    </row>
    <row r="9" spans="1:22">
      <c r="A9" s="7" t="s">
        <v>477</v>
      </c>
      <c r="J9" t="s">
        <v>475</v>
      </c>
      <c r="M9" t="s">
        <v>456</v>
      </c>
      <c r="N9" t="s">
        <v>478</v>
      </c>
      <c r="Q9" t="s">
        <v>479</v>
      </c>
    </row>
    <row r="10" spans="1:22">
      <c r="A10" s="7" t="s">
        <v>480</v>
      </c>
      <c r="J10" t="s">
        <v>73</v>
      </c>
      <c r="M10" t="s">
        <v>73</v>
      </c>
      <c r="N10" t="s">
        <v>456</v>
      </c>
      <c r="Q10" t="s">
        <v>396</v>
      </c>
    </row>
    <row r="11" spans="1:22">
      <c r="A11" s="7" t="s">
        <v>481</v>
      </c>
      <c r="J11" t="s">
        <v>482</v>
      </c>
      <c r="M11" t="s">
        <v>428</v>
      </c>
      <c r="N11" t="s">
        <v>73</v>
      </c>
      <c r="Q11" t="s">
        <v>483</v>
      </c>
    </row>
    <row r="12" spans="1:22">
      <c r="A12" s="7" t="s">
        <v>484</v>
      </c>
      <c r="J12" t="s">
        <v>456</v>
      </c>
      <c r="M12" t="s">
        <v>485</v>
      </c>
      <c r="N12" t="s">
        <v>428</v>
      </c>
      <c r="Q12" t="s">
        <v>486</v>
      </c>
    </row>
    <row r="13" spans="1:22">
      <c r="A13" s="7" t="s">
        <v>487</v>
      </c>
      <c r="J13" t="s">
        <v>453</v>
      </c>
      <c r="M13" t="s">
        <v>435</v>
      </c>
      <c r="Q13" t="s">
        <v>488</v>
      </c>
    </row>
    <row r="14" spans="1:22">
      <c r="A14" s="7" t="s">
        <v>489</v>
      </c>
      <c r="J14" t="s">
        <v>478</v>
      </c>
      <c r="M14" t="s">
        <v>478</v>
      </c>
      <c r="Q14" t="s">
        <v>201</v>
      </c>
    </row>
    <row r="15" spans="1:22">
      <c r="A15" s="7" t="s">
        <v>490</v>
      </c>
      <c r="J15" t="s">
        <v>491</v>
      </c>
      <c r="M15" t="s">
        <v>482</v>
      </c>
      <c r="Q15" t="s">
        <v>492</v>
      </c>
    </row>
    <row r="16" spans="1:22">
      <c r="A16" s="7" t="s">
        <v>270</v>
      </c>
      <c r="Q16" t="s">
        <v>493</v>
      </c>
    </row>
    <row r="17" spans="1:17">
      <c r="A17" s="7" t="s">
        <v>413</v>
      </c>
      <c r="Q17" t="s">
        <v>494</v>
      </c>
    </row>
    <row r="18" spans="1:17">
      <c r="A18" s="7" t="s">
        <v>23</v>
      </c>
      <c r="Q18" t="s">
        <v>495</v>
      </c>
    </row>
    <row r="19" spans="1:17">
      <c r="A19" s="7" t="s">
        <v>496</v>
      </c>
      <c r="Q19" t="s">
        <v>497</v>
      </c>
    </row>
    <row r="20" spans="1:17">
      <c r="A20" s="7" t="s">
        <v>498</v>
      </c>
      <c r="Q20" t="s">
        <v>499</v>
      </c>
    </row>
    <row r="21" spans="1:17">
      <c r="A21" s="7" t="s">
        <v>500</v>
      </c>
    </row>
    <row r="22" spans="1:17">
      <c r="A22" s="7" t="s">
        <v>501</v>
      </c>
      <c r="I22" t="str">
        <f>TRIM(I7)</f>
        <v/>
      </c>
      <c r="L22" t="str">
        <f>TRIM(L7)</f>
        <v/>
      </c>
    </row>
    <row r="23" spans="1:17">
      <c r="A23" s="7" t="s">
        <v>502</v>
      </c>
    </row>
    <row r="25" spans="1:17">
      <c r="E25" t="str">
        <f>TRIM(D25)</f>
        <v/>
      </c>
    </row>
    <row r="28" spans="1:17">
      <c r="N28" t="str">
        <f>TRIM(N13)</f>
        <v/>
      </c>
    </row>
    <row r="119" spans="4:4">
      <c r="D119" t="s">
        <v>503</v>
      </c>
    </row>
    <row r="120" spans="4:4">
      <c r="D120" t="s">
        <v>504</v>
      </c>
    </row>
    <row r="121" spans="4:4">
      <c r="D121" t="s">
        <v>505</v>
      </c>
    </row>
    <row r="127" spans="4:4">
      <c r="D127" t="s">
        <v>506</v>
      </c>
    </row>
    <row r="128" spans="4:4">
      <c r="D128" t="s">
        <v>507</v>
      </c>
    </row>
    <row r="129" spans="4:4">
      <c r="D129" t="s">
        <v>508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02EA5-3B7D-423D-BB4D-975F03EAEE6F}">
  <sheetPr codeName="Sheet3"/>
  <dimension ref="A1:A55"/>
  <sheetViews>
    <sheetView workbookViewId="0">
      <selection activeCell="J12" sqref="J12"/>
    </sheetView>
  </sheetViews>
  <sheetFormatPr defaultRowHeight="14.45"/>
  <sheetData>
    <row r="1" spans="1:1">
      <c r="A1" s="8" t="s">
        <v>509</v>
      </c>
    </row>
    <row r="2" spans="1:1">
      <c r="A2" t="s">
        <v>510</v>
      </c>
    </row>
    <row r="3" spans="1:1">
      <c r="A3" t="s">
        <v>511</v>
      </c>
    </row>
    <row r="4" spans="1:1">
      <c r="A4" t="s">
        <v>512</v>
      </c>
    </row>
    <row r="5" spans="1:1">
      <c r="A5" t="s">
        <v>513</v>
      </c>
    </row>
    <row r="6" spans="1:1">
      <c r="A6" t="s">
        <v>514</v>
      </c>
    </row>
    <row r="7" spans="1:1">
      <c r="A7" t="s">
        <v>515</v>
      </c>
    </row>
    <row r="8" spans="1:1">
      <c r="A8" t="s">
        <v>516</v>
      </c>
    </row>
    <row r="9" spans="1:1">
      <c r="A9" t="s">
        <v>517</v>
      </c>
    </row>
    <row r="10" spans="1:1">
      <c r="A10" t="s">
        <v>518</v>
      </c>
    </row>
    <row r="11" spans="1:1">
      <c r="A11" t="s">
        <v>519</v>
      </c>
    </row>
    <row r="12" spans="1:1">
      <c r="A12" t="s">
        <v>520</v>
      </c>
    </row>
    <row r="13" spans="1:1">
      <c r="A13" t="s">
        <v>521</v>
      </c>
    </row>
    <row r="14" spans="1:1">
      <c r="A14" t="s">
        <v>522</v>
      </c>
    </row>
    <row r="15" spans="1:1">
      <c r="A15" t="s">
        <v>523</v>
      </c>
    </row>
    <row r="16" spans="1:1">
      <c r="A16" t="s">
        <v>524</v>
      </c>
    </row>
    <row r="17" spans="1:1">
      <c r="A17" t="s">
        <v>525</v>
      </c>
    </row>
    <row r="18" spans="1:1">
      <c r="A18" t="s">
        <v>526</v>
      </c>
    </row>
    <row r="19" spans="1:1">
      <c r="A19" t="s">
        <v>527</v>
      </c>
    </row>
    <row r="20" spans="1:1">
      <c r="A20" t="s">
        <v>25</v>
      </c>
    </row>
    <row r="21" spans="1:1">
      <c r="A21" t="s">
        <v>528</v>
      </c>
    </row>
    <row r="22" spans="1:1">
      <c r="A22" t="s">
        <v>529</v>
      </c>
    </row>
    <row r="23" spans="1:1">
      <c r="A23" t="s">
        <v>530</v>
      </c>
    </row>
    <row r="24" spans="1:1">
      <c r="A24" t="s">
        <v>531</v>
      </c>
    </row>
    <row r="25" spans="1:1">
      <c r="A25" t="s">
        <v>532</v>
      </c>
    </row>
    <row r="26" spans="1:1">
      <c r="A26" t="s">
        <v>533</v>
      </c>
    </row>
    <row r="27" spans="1:1">
      <c r="A27" t="s">
        <v>534</v>
      </c>
    </row>
    <row r="28" spans="1:1">
      <c r="A28" t="s">
        <v>535</v>
      </c>
    </row>
    <row r="29" spans="1:1">
      <c r="A29" t="s">
        <v>536</v>
      </c>
    </row>
    <row r="30" spans="1:1">
      <c r="A30" t="s">
        <v>537</v>
      </c>
    </row>
    <row r="31" spans="1:1">
      <c r="A31" t="s">
        <v>538</v>
      </c>
    </row>
    <row r="32" spans="1:1">
      <c r="A32" t="s">
        <v>539</v>
      </c>
    </row>
    <row r="33" spans="1:1">
      <c r="A33" t="s">
        <v>540</v>
      </c>
    </row>
    <row r="34" spans="1:1">
      <c r="A34" t="s">
        <v>541</v>
      </c>
    </row>
    <row r="35" spans="1:1">
      <c r="A35" t="s">
        <v>542</v>
      </c>
    </row>
    <row r="36" spans="1:1">
      <c r="A36" t="s">
        <v>543</v>
      </c>
    </row>
    <row r="37" spans="1:1">
      <c r="A37" t="s">
        <v>544</v>
      </c>
    </row>
    <row r="38" spans="1:1">
      <c r="A38" t="s">
        <v>545</v>
      </c>
    </row>
    <row r="39" spans="1:1">
      <c r="A39" t="s">
        <v>546</v>
      </c>
    </row>
    <row r="40" spans="1:1">
      <c r="A40" t="s">
        <v>547</v>
      </c>
    </row>
    <row r="41" spans="1:1">
      <c r="A41" t="s">
        <v>548</v>
      </c>
    </row>
    <row r="42" spans="1:1">
      <c r="A42" t="s">
        <v>549</v>
      </c>
    </row>
    <row r="43" spans="1:1">
      <c r="A43" t="s">
        <v>550</v>
      </c>
    </row>
    <row r="44" spans="1:1">
      <c r="A44" t="s">
        <v>551</v>
      </c>
    </row>
    <row r="45" spans="1:1">
      <c r="A45" t="s">
        <v>552</v>
      </c>
    </row>
    <row r="46" spans="1:1">
      <c r="A46" t="s">
        <v>553</v>
      </c>
    </row>
    <row r="47" spans="1:1">
      <c r="A47" t="s">
        <v>554</v>
      </c>
    </row>
    <row r="48" spans="1:1">
      <c r="A48" t="s">
        <v>555</v>
      </c>
    </row>
    <row r="49" spans="1:1">
      <c r="A49" t="s">
        <v>556</v>
      </c>
    </row>
    <row r="50" spans="1:1">
      <c r="A50" t="s">
        <v>495</v>
      </c>
    </row>
    <row r="51" spans="1:1">
      <c r="A51" t="s">
        <v>472</v>
      </c>
    </row>
    <row r="52" spans="1:1">
      <c r="A52" t="s">
        <v>557</v>
      </c>
    </row>
    <row r="53" spans="1:1">
      <c r="A53" t="s">
        <v>558</v>
      </c>
    </row>
    <row r="54" spans="1:1">
      <c r="A54" t="s">
        <v>559</v>
      </c>
    </row>
    <row r="55" spans="1:1">
      <c r="A55" t="s">
        <v>560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 Online</Application>
  <Manager/>
  <Company>NESDIS</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Edward P. Gille</dc:creator>
  <cp:keywords/>
  <dc:description/>
  <cp:lastModifiedBy>Cebulski, Alex</cp:lastModifiedBy>
  <cp:revision/>
  <dcterms:created xsi:type="dcterms:W3CDTF">2021-04-12T18:38:43Z</dcterms:created>
  <dcterms:modified xsi:type="dcterms:W3CDTF">2024-02-17T00:58:23Z</dcterms:modified>
  <cp:category/>
  <cp:contentStatus/>
</cp:coreProperties>
</file>