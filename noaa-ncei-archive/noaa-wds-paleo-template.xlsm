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ward.p.gille\Data SubmitsLocal\templates\"/>
    </mc:Choice>
  </mc:AlternateContent>
  <xr:revisionPtr revIDLastSave="0" documentId="13_ncr:1_{F7BC0AE4-ED1E-4740-A92A-49203CC0E271}" xr6:coauthVersionLast="36" xr6:coauthVersionMax="36" xr10:uidLastSave="{00000000-0000-0000-0000-000000000000}"/>
  <bookViews>
    <workbookView xWindow="0" yWindow="0" windowWidth="4140" windowHeight="690" firstSheet="1" activeTab="1" xr2:uid="{BA7B7ADD-7A9E-4251-84F5-0B9C2D740961}"/>
  </bookViews>
  <sheets>
    <sheet name="About" sheetId="12" r:id="rId1"/>
    <sheet name="Metadata" sheetId="1" r:id="rId2"/>
    <sheet name="Chronology" sheetId="4" r:id="rId3"/>
    <sheet name="Data" sheetId="5" r:id="rId4"/>
    <sheet name="ITRDB" sheetId="10" r:id="rId5"/>
    <sheet name="Example-ITRDB" sheetId="11" r:id="rId6"/>
    <sheet name="Example-Metadata" sheetId="6" r:id="rId7"/>
    <sheet name="Example-C14 Chronology" sheetId="7" r:id="rId8"/>
    <sheet name="Example-UTh Chronology" sheetId="9" r:id="rId9"/>
    <sheet name="Example-Data" sheetId="8" r:id="rId10"/>
    <sheet name="ProxyAndReconstructionInfo" sheetId="2" r:id="rId11"/>
    <sheet name="NOAASciKeywords" sheetId="3" r:id="rId12"/>
  </sheets>
  <definedNames>
    <definedName name="borehole">ProxyAndReconstructionInfo!$D$2:$D$3</definedName>
    <definedName name="climate_forcing">ProxyAndReconstructionInfo!$E$2:$E$5</definedName>
    <definedName name="Climate_reconstructions">ProxyAndReconstructionInfo!$Q$2:$Q$20</definedName>
    <definedName name="corals_and_sclerosponges">ProxyAndReconstructionInfo!$F$2:$F$7</definedName>
    <definedName name="fauna">ProxyAndReconstructionInfo!$G$2:$G$4</definedName>
    <definedName name="fire_history">ProxyAndReconstructionInfo!$H$2:$H$4</definedName>
    <definedName name="historical">ProxyAndReconstructionInfo!$I$2:$I$6</definedName>
    <definedName name="ice_cores">ProxyAndReconstructionInfo!$J$2:$J$15</definedName>
    <definedName name="insect">ProxyAndReconstructionInfo!$K$2:$K$3</definedName>
    <definedName name="instrumental">ProxyAndReconstructionInfo!$T$2:$T$5</definedName>
    <definedName name="lake_levels">ProxyAndReconstructionInfo!$V$2</definedName>
    <definedName name="loess">ProxyAndReconstructionInfo!$U$2</definedName>
    <definedName name="paleoceanography">ProxyAndReconstructionInfo!$M$2:$M$15</definedName>
    <definedName name="Paleoclimatic_Modeling">ProxyAndReconstructionInfo!$L$2:$L$6</definedName>
    <definedName name="paleolimnology">ProxyAndReconstructionInfo!$N$2:$N$12</definedName>
    <definedName name="plant_macrofossils">ProxyAndReconstructionInfo!$O$2:$O$4</definedName>
    <definedName name="pollen">ProxyAndReconstructionInfo!$P$2:$P$5</definedName>
    <definedName name="ProxyList2">ProxyAndReconstructionInfo!$A$3:$A$23</definedName>
    <definedName name="speleothems">ProxyAndReconstructionInfo!$R$2:$R$8</definedName>
    <definedName name="tree_ring">ProxyAndReconstructionInfo!$S$2:$S$6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8" l="1"/>
  <c r="L28" i="7"/>
  <c r="M28" i="7" s="1"/>
  <c r="L27" i="7"/>
  <c r="M27" i="7" s="1"/>
  <c r="N28" i="7" l="1"/>
  <c r="N27" i="7"/>
  <c r="N28" i="2" l="1"/>
  <c r="E25" i="2"/>
  <c r="L22" i="2"/>
  <c r="I22" i="2"/>
</calcChain>
</file>

<file path=xl/sharedStrings.xml><?xml version="1.0" encoding="utf-8"?>
<sst xmlns="http://schemas.openxmlformats.org/spreadsheetml/2006/main" count="706" uniqueCount="497">
  <si>
    <r>
      <t xml:space="preserve">Version 4.0; Submit Template as email attachment to </t>
    </r>
    <r>
      <rPr>
        <b/>
        <sz val="11"/>
        <color theme="1"/>
        <rFont val="Calibri"/>
        <family val="2"/>
        <scheme val="minor"/>
      </rPr>
      <t>paleo@noaa.gov</t>
    </r>
    <r>
      <rPr>
        <sz val="11"/>
        <color theme="1"/>
        <rFont val="Calibri"/>
        <family val="2"/>
        <scheme val="minor"/>
      </rPr>
      <t>. See the Example-Metadata and Example-Data Tabs to see some examples of how to enter information</t>
    </r>
  </si>
  <si>
    <t>Description of "Original_Source_URL" link, if applicable</t>
  </si>
  <si>
    <t>Data_Type</t>
  </si>
  <si>
    <t>Select one</t>
  </si>
  <si>
    <t>Possible Science Keywords:</t>
  </si>
  <si>
    <t>Description and Notes</t>
  </si>
  <si>
    <t>Optional Scientific keywords separated by commas</t>
  </si>
  <si>
    <t>Publication Section</t>
  </si>
  <si>
    <t xml:space="preserve"> Any additional Publications should be entered in Columns C,D,etc. </t>
  </si>
  <si>
    <t>Authors (Exactly as written in the publication citation)</t>
  </si>
  <si>
    <t>Publication title</t>
  </si>
  <si>
    <t>Journal</t>
  </si>
  <si>
    <t>Year</t>
  </si>
  <si>
    <t>Volume</t>
  </si>
  <si>
    <t>Edition</t>
  </si>
  <si>
    <t>Issue</t>
  </si>
  <si>
    <t>Pages</t>
  </si>
  <si>
    <t>Report Number</t>
  </si>
  <si>
    <t>DOI</t>
  </si>
  <si>
    <t>Online_Resource</t>
  </si>
  <si>
    <t>Abstract</t>
  </si>
  <si>
    <t>Alternate citation in paragraph format (For books, theses, etc. that don't fit well in above fields)</t>
  </si>
  <si>
    <t>Site Information</t>
  </si>
  <si>
    <t xml:space="preserve"> Use appropriate significant digits for all values</t>
  </si>
  <si>
    <t>Site name</t>
  </si>
  <si>
    <t>Location</t>
  </si>
  <si>
    <t>Northernmost latitude (decimal degree, South negative, WGS84)</t>
  </si>
  <si>
    <t>Southernmost latitude (decimal degree, South negative, WGS84)</t>
  </si>
  <si>
    <t xml:space="preserve"> If Site is a Point, Enter same value in Southernmost as Northernmost latitude.</t>
  </si>
  <si>
    <t>Easternmost longitude (decimal degree, West negative, WGS84)</t>
  </si>
  <si>
    <t>Westernmost longitude (decimal degree, West negative, WGS84)</t>
  </si>
  <si>
    <t xml:space="preserve"> If Site is a Point, Enter same value in Westernmost as Easternmost longitude.</t>
  </si>
  <si>
    <t>elevation (m), below sea level negative</t>
  </si>
  <si>
    <t>Data Collection Information</t>
  </si>
  <si>
    <t>Collection_Name (typically a core name)</t>
  </si>
  <si>
    <t>Oldest Year (relative to 1950AD)</t>
  </si>
  <si>
    <t>Most Recent Year (relative to 1950AD)</t>
  </si>
  <si>
    <t>Time_Unit</t>
  </si>
  <si>
    <t>Notes</t>
  </si>
  <si>
    <t>Core_Length (m)</t>
  </si>
  <si>
    <t>Species Info (for Tree ring data)</t>
  </si>
  <si>
    <t xml:space="preserve">Any additional species should be entered in Columns C,D, etc. </t>
  </si>
  <si>
    <t>Species_Name</t>
  </si>
  <si>
    <t>Common_Name (for example, at the level of Family or higher)</t>
  </si>
  <si>
    <t>Tree_Species_code (Four Letters)</t>
  </si>
  <si>
    <t>Funding_Agency</t>
  </si>
  <si>
    <t xml:space="preserve">Any additional Funding agencies and grants should be entered in Columns C,D, etc. </t>
  </si>
  <si>
    <t>Funding_Agency_Name</t>
  </si>
  <si>
    <t>Grant</t>
  </si>
  <si>
    <t>Please Do Not Modify This Page</t>
  </si>
  <si>
    <t>Selectone</t>
  </si>
  <si>
    <t xml:space="preserve">borehole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</si>
  <si>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climate forcing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</si>
  <si>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corals and sclerosponges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</si>
  <si>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fauna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</si>
  <si>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fire history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</si>
  <si>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historical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</si>
  <si>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ice cores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</si>
  <si>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insect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</si>
  <si>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Paleoclimatic Modeling</t>
  </si>
  <si>
    <t xml:space="preserve">paleoceanography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</si>
  <si>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paleolimnology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</si>
  <si>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plant macrofossils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</si>
  <si>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pollen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</si>
  <si>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Climate reconstructions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</si>
  <si>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speleothems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</si>
  <si>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tree ring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</si>
  <si>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instrumental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</si>
  <si>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loess</t>
  </si>
  <si>
    <t>lake levels</t>
  </si>
  <si>
    <t>physical properties</t>
  </si>
  <si>
    <t>carbon dioxide</t>
  </si>
  <si>
    <t>age control</t>
  </si>
  <si>
    <t xml:space="preserve">charcoal sediment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</si>
  <si>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document</t>
  </si>
  <si>
    <t>population abundance</t>
  </si>
  <si>
    <t>atmosphere model</t>
  </si>
  <si>
    <t>air temperature</t>
  </si>
  <si>
    <t>carbon isotopes</t>
  </si>
  <si>
    <t>atmospheric temperature</t>
  </si>
  <si>
    <t>No Keywords available</t>
  </si>
  <si>
    <t>other</t>
  </si>
  <si>
    <t>solar</t>
  </si>
  <si>
    <t>establishment dates</t>
  </si>
  <si>
    <t>weather observation</t>
  </si>
  <si>
    <t>atmospheric gas</t>
  </si>
  <si>
    <t>land model</t>
  </si>
  <si>
    <t>biomarkers</t>
  </si>
  <si>
    <t>precipitation</t>
  </si>
  <si>
    <t>density</t>
  </si>
  <si>
    <t>Borehole</t>
  </si>
  <si>
    <t>volcanic</t>
  </si>
  <si>
    <t>population count</t>
  </si>
  <si>
    <t>fire scar dates</t>
  </si>
  <si>
    <t>phenology</t>
  </si>
  <si>
    <t>borehole measurements</t>
  </si>
  <si>
    <t>ocean model</t>
  </si>
  <si>
    <t>geochemistry</t>
  </si>
  <si>
    <t>ground water</t>
  </si>
  <si>
    <t>hydrogen isotopes</t>
  </si>
  <si>
    <t>pressure</t>
  </si>
  <si>
    <t>Climate Forcing</t>
  </si>
  <si>
    <t>oxygen isotopes</t>
  </si>
  <si>
    <t>ship logs</t>
  </si>
  <si>
    <t>other model</t>
  </si>
  <si>
    <t>lake level</t>
  </si>
  <si>
    <t>lithology</t>
  </si>
  <si>
    <t>cryosphere</t>
  </si>
  <si>
    <t>Climate Reconstructions</t>
  </si>
  <si>
    <t>trace metals</t>
  </si>
  <si>
    <t>crop harvests</t>
  </si>
  <si>
    <t>chemistry</t>
  </si>
  <si>
    <t>sea ice model</t>
  </si>
  <si>
    <t>salinity</t>
  </si>
  <si>
    <t xml:space="preserve">width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</si>
  <si>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Corals and Sclerosponges</t>
  </si>
  <si>
    <t>instrumental data</t>
  </si>
  <si>
    <t>magnetic susceptibility</t>
  </si>
  <si>
    <t>sea level</t>
  </si>
  <si>
    <t>Fauna</t>
  </si>
  <si>
    <t>mineralogy</t>
  </si>
  <si>
    <t>nitrogen isotopes</t>
  </si>
  <si>
    <t>atmospheric circulation</t>
  </si>
  <si>
    <t>Fire History</t>
  </si>
  <si>
    <t>reconstruction</t>
  </si>
  <si>
    <t>vegetation</t>
  </si>
  <si>
    <t>Historical</t>
  </si>
  <si>
    <t>sea surface temperature</t>
  </si>
  <si>
    <t>Ice Cores</t>
  </si>
  <si>
    <t>radiogenic isotope</t>
  </si>
  <si>
    <t>streamflow</t>
  </si>
  <si>
    <t>Insect</t>
  </si>
  <si>
    <t>trace metals in carbonates</t>
  </si>
  <si>
    <t>solar radiation</t>
  </si>
  <si>
    <t>Instrumental</t>
  </si>
  <si>
    <t>ice extent</t>
  </si>
  <si>
    <t>Lake Levels</t>
  </si>
  <si>
    <t>elevation</t>
  </si>
  <si>
    <t>Loess</t>
  </si>
  <si>
    <t>accumulation</t>
  </si>
  <si>
    <t>lake salinity</t>
  </si>
  <si>
    <t>Paleoceanography</t>
  </si>
  <si>
    <t>pH</t>
  </si>
  <si>
    <t>equilibrium line altitude</t>
  </si>
  <si>
    <t>Paleolimnology</t>
  </si>
  <si>
    <t>sea ice</t>
  </si>
  <si>
    <t>Plant Macrofossils</t>
  </si>
  <si>
    <t>ice elevation</t>
  </si>
  <si>
    <t>Pollen</t>
  </si>
  <si>
    <t>pseudo proxy</t>
  </si>
  <si>
    <t>Speleothems</t>
  </si>
  <si>
    <t>Tree Ring</t>
  </si>
  <si>
    <t>Other Collections</t>
  </si>
  <si>
    <t xml:space="preserve">loess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</si>
  <si>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lake levels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</si>
  <si>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others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</si>
  <si>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software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</si>
  <si>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database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</si>
  <si>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repository </t>
  </si>
  <si>
    <t>Air Temperature Reconstruction</t>
  </si>
  <si>
    <t>Arctic</t>
  </si>
  <si>
    <t>Atmospheric Gas Reconstruction</t>
  </si>
  <si>
    <t>Atmospheric and Oceanic Circulation Patterns Reconstruction</t>
  </si>
  <si>
    <t>ENSO</t>
  </si>
  <si>
    <t>Earth Surface Conditions Reconstruction</t>
  </si>
  <si>
    <t>Glacial</t>
  </si>
  <si>
    <t>Glaciers and Ice Sheets Reconstruction</t>
  </si>
  <si>
    <t>Hadley Circulation</t>
  </si>
  <si>
    <t>Heinrich Events</t>
  </si>
  <si>
    <t>Hurricanes and Tropical Cyclones Reconstruction</t>
  </si>
  <si>
    <t>Interglacial</t>
  </si>
  <si>
    <t>Last Glacial Maximum</t>
  </si>
  <si>
    <t>Last Interglacial</t>
  </si>
  <si>
    <t>Medieval Warm Period</t>
  </si>
  <si>
    <t>Milankovitch</t>
  </si>
  <si>
    <t>Monsoon</t>
  </si>
  <si>
    <t>North Atlantic Oscillation</t>
  </si>
  <si>
    <t>Other Hydroclimate Reconstruction</t>
  </si>
  <si>
    <t>Other Reconstruction</t>
  </si>
  <si>
    <t>Pacific Decadal Oscillation</t>
  </si>
  <si>
    <t>Palmer Drought Index Reconstruction</t>
  </si>
  <si>
    <t>Precipitation Reconstruction</t>
  </si>
  <si>
    <t>Sea Ice Reconstruction</t>
  </si>
  <si>
    <t>Sea Level Reconstruction</t>
  </si>
  <si>
    <t>Sea Surface Temperature Reconstruction</t>
  </si>
  <si>
    <t>Solar Forcing Reconstruction</t>
  </si>
  <si>
    <t>Streamflow Reconstruction</t>
  </si>
  <si>
    <t>Tropics</t>
  </si>
  <si>
    <t>Vegetation Reconstruction</t>
  </si>
  <si>
    <t>Warm Pool</t>
  </si>
  <si>
    <t>Younger Dryas</t>
  </si>
  <si>
    <t>abrupt climate change</t>
  </si>
  <si>
    <t>biogeochemical cycles</t>
  </si>
  <si>
    <t>biogeography</t>
  </si>
  <si>
    <t>carbon cycle</t>
  </si>
  <si>
    <t>centennial resolution</t>
  </si>
  <si>
    <t>decadal resolution</t>
  </si>
  <si>
    <t>Parameter Keyword List:</t>
  </si>
  <si>
    <t>Note: it will take a second for value selected below to populate cell B40</t>
  </si>
  <si>
    <t>Chronology Table Containing Measured Depths and Ages</t>
  </si>
  <si>
    <t>Put data used for building the age model on this sheet. See "Example C14 Chronology" tab for an example table.</t>
  </si>
  <si>
    <t>Chronology Notes</t>
  </si>
  <si>
    <t>Chronology Table As Paragraph (insert table into cell B3) not preferred</t>
  </si>
  <si>
    <t>Chronology Table (Use as many rows and columns are needed below this line)</t>
  </si>
  <si>
    <t xml:space="preserve">NOTE: Additional Chronology tables should be put below the first one with no more than one blank line. </t>
  </si>
  <si>
    <t>Variables</t>
  </si>
  <si>
    <t>Use one row to define each variable, beginning with depth then age; use additional templates for additional tables</t>
  </si>
  <si>
    <t>Note: Data_Format is 'N' for numeric and 'C' for character data</t>
  </si>
  <si>
    <t>Short_name</t>
  </si>
  <si>
    <t>What</t>
  </si>
  <si>
    <t>Material</t>
  </si>
  <si>
    <t>Error</t>
  </si>
  <si>
    <t>Units</t>
  </si>
  <si>
    <t>Seasonality</t>
  </si>
  <si>
    <t>Detail</t>
  </si>
  <si>
    <t>Method</t>
  </si>
  <si>
    <t>Data_Format</t>
  </si>
  <si>
    <t>Additional_Information</t>
  </si>
  <si>
    <t xml:space="preserve">The Variable Fields: What, Material,Error, Units,Seasonality, Data_Type, Detail, Method, and Data_Format should be filled using the Controlled Vocabulary lists provided at &lt;https://www.ncdc.noaa.gov/paleo-search/cvterms&gt;. The Additional_Information field is a free text field for providing any other information needed to describe the variable. </t>
  </si>
  <si>
    <t>Data</t>
  </si>
  <si>
    <t>Paste Data Table below starting in Column A</t>
  </si>
  <si>
    <t xml:space="preserve">Missing Value </t>
  </si>
  <si>
    <t>The value or character string used as a placeholder for missing values</t>
  </si>
  <si>
    <r>
      <t xml:space="preserve">Submit Template as email attachment to </t>
    </r>
    <r>
      <rPr>
        <b/>
        <sz val="11"/>
        <color theme="1"/>
        <rFont val="Calibri"/>
        <family val="2"/>
        <scheme val="minor"/>
      </rPr>
      <t>paleo@noaa.gov</t>
    </r>
    <r>
      <rPr>
        <sz val="11"/>
        <color theme="1"/>
        <rFont val="Calibri"/>
        <family val="2"/>
        <scheme val="minor"/>
      </rPr>
      <t>. See the Example-Metadata and Example-Data Tabs to see some examples of how to enter information</t>
    </r>
  </si>
  <si>
    <t>Test Study Title</t>
  </si>
  <si>
    <t>https://www.ncdc.noaa.gov/paleo/study/9999</t>
  </si>
  <si>
    <t>NOAA Study where raw data was obtained.</t>
  </si>
  <si>
    <t xml:space="preserve">Additional information about the study that would be useful to a researcher using the data and isn't captured anywhere else on the template. </t>
  </si>
  <si>
    <t>Authors</t>
  </si>
  <si>
    <t>Smith, J.K., J.J. Doe and T.Y. Jones</t>
  </si>
  <si>
    <t>Taylor, A.X. and R.T. Carr</t>
  </si>
  <si>
    <t>Pub_title</t>
  </si>
  <si>
    <t>Fake Pub Title</t>
  </si>
  <si>
    <t>Second Test Pub Title</t>
  </si>
  <si>
    <t>Nature</t>
  </si>
  <si>
    <t>90-95</t>
  </si>
  <si>
    <t>230-242</t>
  </si>
  <si>
    <t>Report_Number</t>
  </si>
  <si>
    <t>PA4033</t>
  </si>
  <si>
    <t>10.1039/9999999</t>
  </si>
  <si>
    <t>10.1039/765765777</t>
  </si>
  <si>
    <t>Full abstract for the Smith and Jones study.</t>
  </si>
  <si>
    <t xml:space="preserve">Abstract for second example publication. </t>
  </si>
  <si>
    <t>Full Citation</t>
  </si>
  <si>
    <t>ODP9999</t>
  </si>
  <si>
    <t>Atlantic Ocean</t>
  </si>
  <si>
    <t>ODP9999-2013 Isotopes</t>
  </si>
  <si>
    <t>Most Recent Year relative to 1950AD)</t>
  </si>
  <si>
    <t>cal yr BP</t>
  </si>
  <si>
    <t>Spliced together with TN23.</t>
  </si>
  <si>
    <t>Species Info(for Tree ring data)</t>
  </si>
  <si>
    <t>Pinus ponderosa Douglas ex C. Lawson</t>
  </si>
  <si>
    <t>Common_Name</t>
  </si>
  <si>
    <t>ponderosa pine</t>
  </si>
  <si>
    <t>PIPO</t>
  </si>
  <si>
    <t>National Science Foundation</t>
  </si>
  <si>
    <t>European Union</t>
  </si>
  <si>
    <t>AG99-1234</t>
  </si>
  <si>
    <t>09-1234</t>
  </si>
  <si>
    <t>See "Example C14 Chronology" tab for an example table.</t>
  </si>
  <si>
    <t>Paste Measured Radiocarbon Ages into a table below.  Ages from other sources can be included using the depth, calib.14C, and notes columns</t>
  </si>
  <si>
    <t xml:space="preserve">Labcode </t>
  </si>
  <si>
    <t xml:space="preserve">sample identification used by 14C laboratory </t>
  </si>
  <si>
    <t>depth_top</t>
  </si>
  <si>
    <t>Depth top of sample interval (cm)</t>
  </si>
  <si>
    <t>depth_bottom</t>
  </si>
  <si>
    <t>Depth bottom of sample interval (cm)</t>
  </si>
  <si>
    <t xml:space="preserve">mat.dated </t>
  </si>
  <si>
    <t>Material Dated</t>
  </si>
  <si>
    <t>14C.raw</t>
  </si>
  <si>
    <t xml:space="preserve">conventional radiocarbon age, years before 1950AD  </t>
  </si>
  <si>
    <t xml:space="preserve">14C.raw_err </t>
  </si>
  <si>
    <t xml:space="preserve">radiocarbon age, standard error </t>
  </si>
  <si>
    <t xml:space="preserve">datemeth  </t>
  </si>
  <si>
    <t>Dating method</t>
  </si>
  <si>
    <t xml:space="preserve">reservoir </t>
  </si>
  <si>
    <t>Reservoir correction</t>
  </si>
  <si>
    <t xml:space="preserve">delta-R </t>
  </si>
  <si>
    <t>Deviation from global mean reservoir correction</t>
  </si>
  <si>
    <t xml:space="preserve">delta-R_err_lo   </t>
  </si>
  <si>
    <t xml:space="preserve">delta-R standard error down </t>
  </si>
  <si>
    <t xml:space="preserve">delta-R_err_up </t>
  </si>
  <si>
    <t xml:space="preserve">delta-R standard error up </t>
  </si>
  <si>
    <t xml:space="preserve">calib.14C  </t>
  </si>
  <si>
    <t>Calibrated age</t>
  </si>
  <si>
    <t>calib.14C_1sig_lo</t>
  </si>
  <si>
    <t xml:space="preserve">Calibrated age, 1-sigma lower confidence bound  </t>
  </si>
  <si>
    <t>calib.14C_1sig_up</t>
  </si>
  <si>
    <t xml:space="preserve">Calibrated age, 1-sigma upper confidence bound   </t>
  </si>
  <si>
    <t>calib.14C_2sig_lo</t>
  </si>
  <si>
    <t xml:space="preserve">Calibrated age, 2-sigma lower confidence bound   </t>
  </si>
  <si>
    <t>calib.14C_2sig_up</t>
  </si>
  <si>
    <t xml:space="preserve">Calibrated age, 2-sigma upper confidence bound </t>
  </si>
  <si>
    <t xml:space="preserve">calib_method </t>
  </si>
  <si>
    <t>Calibration method</t>
  </si>
  <si>
    <t xml:space="preserve">rejected </t>
  </si>
  <si>
    <t>Rejected sample  (yes/no)</t>
  </si>
  <si>
    <t>notes</t>
  </si>
  <si>
    <t>Labcode</t>
  </si>
  <si>
    <t>mat.dated</t>
  </si>
  <si>
    <t>14C.raw_err</t>
  </si>
  <si>
    <t>datemeth</t>
  </si>
  <si>
    <t>reservoir</t>
  </si>
  <si>
    <t>delta-R</t>
  </si>
  <si>
    <t>delta-R_err_lo</t>
  </si>
  <si>
    <t>delta-R_err_up</t>
  </si>
  <si>
    <t xml:space="preserve">calib_method            </t>
  </si>
  <si>
    <t>Saksunarvatn ash</t>
  </si>
  <si>
    <t>correlation to NGRIP</t>
  </si>
  <si>
    <t>SUERC 14086</t>
  </si>
  <si>
    <t>G. bulloides</t>
  </si>
  <si>
    <t>14C AMS</t>
  </si>
  <si>
    <t>Marine04</t>
  </si>
  <si>
    <t>Calib 5.3</t>
  </si>
  <si>
    <t>AA 17840</t>
  </si>
  <si>
    <t>N. pachyderma (s)</t>
  </si>
  <si>
    <t>averaged with G. bulloides measurement at 432 cm</t>
  </si>
  <si>
    <t>AA 17863</t>
  </si>
  <si>
    <t>YES</t>
  </si>
  <si>
    <t>benthic d18O</t>
  </si>
  <si>
    <t>correlation to Byrd d18O</t>
  </si>
  <si>
    <t>correlation to Lisiecki et al. 2005</t>
  </si>
  <si>
    <t>PDQ 989</t>
  </si>
  <si>
    <t xml:space="preserve">Use as many rows as you need for variables. </t>
  </si>
  <si>
    <t>For additonal help:</t>
  </si>
  <si>
    <t>Variable Naming Guide</t>
  </si>
  <si>
    <t>Variable Example List</t>
  </si>
  <si>
    <t>depth_mm</t>
  </si>
  <si>
    <t>depth</t>
  </si>
  <si>
    <t>millimeter</t>
  </si>
  <si>
    <t>N</t>
  </si>
  <si>
    <t>age_AD</t>
  </si>
  <si>
    <t>age</t>
  </si>
  <si>
    <t>year Common Era</t>
  </si>
  <si>
    <t>d18Oporit-anom</t>
  </si>
  <si>
    <t>delta 18O</t>
  </si>
  <si>
    <t>Porites sp.</t>
  </si>
  <si>
    <t>per mil PDB</t>
  </si>
  <si>
    <t>anomalized</t>
  </si>
  <si>
    <t>isotope ratio mass spectrometry</t>
  </si>
  <si>
    <t>reference period: 1981-1986 A.D.</t>
  </si>
  <si>
    <t>d18Oporit-anom_err</t>
  </si>
  <si>
    <t>one standard deviation</t>
  </si>
  <si>
    <t>Sr/Ca-d.laby</t>
  </si>
  <si>
    <t>strontium/calcium</t>
  </si>
  <si>
    <t>Diploria labyrinthiformis</t>
  </si>
  <si>
    <t>millimole per mole</t>
  </si>
  <si>
    <t>Dec-Mar</t>
  </si>
  <si>
    <t>smoothed</t>
  </si>
  <si>
    <t>inductively coupled plasma atomic emission spectroscopy</t>
  </si>
  <si>
    <t>5 year bin used in smoothing</t>
  </si>
  <si>
    <t>sst-aug</t>
  </si>
  <si>
    <t>degree Celsius</t>
  </si>
  <si>
    <t>Aug</t>
  </si>
  <si>
    <t>regression analysis</t>
  </si>
  <si>
    <t>Paste in Data Table starting in Column A</t>
  </si>
  <si>
    <t>Missing Value</t>
  </si>
  <si>
    <t>corals and sclerosponges</t>
  </si>
  <si>
    <t>climate reconstructions; corals and sclerosponges</t>
  </si>
  <si>
    <t>Note: it will take a second for value selected below to populate cell B7</t>
  </si>
  <si>
    <t>Additional Scientific keywords separated by commas</t>
  </si>
  <si>
    <t>sea surface temperature reconstruction, Younger Dryas, Glacial</t>
  </si>
  <si>
    <t>carbon isotopes, biomarkers, geochemistry</t>
  </si>
  <si>
    <r>
      <t>Parameter Keywords (</t>
    </r>
    <r>
      <rPr>
        <b/>
        <sz val="11"/>
        <color rgb="FFFF0000"/>
        <rFont val="Calibri"/>
        <family val="2"/>
        <scheme val="minor"/>
      </rPr>
      <t>select one or many</t>
    </r>
    <r>
      <rPr>
        <sz val="11"/>
        <color theme="1"/>
        <rFont val="Calibri"/>
        <family val="2"/>
        <scheme val="minor"/>
      </rPr>
      <t xml:space="preserve"> from proxy-specific list in Cell D40)</t>
    </r>
  </si>
  <si>
    <r>
      <t xml:space="preserve">See </t>
    </r>
    <r>
      <rPr>
        <b/>
        <sz val="11"/>
        <color theme="1"/>
        <rFont val="Calibri"/>
        <family val="2"/>
        <scheme val="minor"/>
      </rPr>
      <t>https://www.ncei.noaa.gov/pub/data/paleo/templates/Tree-species-code.csv</t>
    </r>
    <r>
      <rPr>
        <sz val="11"/>
        <color theme="1"/>
        <rFont val="Calibri"/>
        <family val="2"/>
        <scheme val="minor"/>
      </rPr>
      <t xml:space="preserve"> for list of these values</t>
    </r>
  </si>
  <si>
    <t>samp_id</t>
  </si>
  <si>
    <t>238U_ppb</t>
  </si>
  <si>
    <t>238U_2s_ppb</t>
  </si>
  <si>
    <t>232Th_ppt</t>
  </si>
  <si>
    <t>232Th_2s_ppt</t>
  </si>
  <si>
    <t>230Th_232Th_atom_10e-6</t>
  </si>
  <si>
    <t>230Th_232Th_atom_2s_10e-6</t>
  </si>
  <si>
    <t>d234U_meas_permil</t>
  </si>
  <si>
    <t>d234U_meas_2s_permil</t>
  </si>
  <si>
    <t>230Th_238U_act</t>
  </si>
  <si>
    <t>230Th_238U_act_2s</t>
  </si>
  <si>
    <t>age_uncorr_BP</t>
  </si>
  <si>
    <t>age_uncorr_2s_yr</t>
  </si>
  <si>
    <t>age_corr_BP</t>
  </si>
  <si>
    <t>age_corr_2s_yr</t>
  </si>
  <si>
    <t>d234U_init_permil</t>
  </si>
  <si>
    <t>d234U_init_2s_permil</t>
  </si>
  <si>
    <t>age_corr_BP1950</t>
  </si>
  <si>
    <t>date_used</t>
  </si>
  <si>
    <t>HC-1</t>
  </si>
  <si>
    <t>yes</t>
  </si>
  <si>
    <t>HC-1d</t>
  </si>
  <si>
    <t>HC-1a</t>
  </si>
  <si>
    <t>no</t>
  </si>
  <si>
    <t>HC-2d</t>
  </si>
  <si>
    <t>HC-3d</t>
  </si>
  <si>
    <t>HC-3c</t>
  </si>
  <si>
    <t>Select unit</t>
  </si>
  <si>
    <t>*** PLEASE DELETE THESE INSTRUCTION LINES BEFORE SUBMISSION.</t>
  </si>
  <si>
    <t>*** MORE DETAILED INSTRUCTIONS are available at &lt;www.ncei.noaa.gov/pub/data/paleo/templates/Variable_naming_guide.pdf&gt;</t>
  </si>
  <si>
    <t>NOAA Science Keywords:</t>
  </si>
  <si>
    <t>Select Keyword(s)</t>
  </si>
  <si>
    <t>Parameter Keywords  (see possible terms in proxy-specific list - Cell D39)</t>
  </si>
  <si>
    <t>drought</t>
  </si>
  <si>
    <t>hydrology</t>
  </si>
  <si>
    <t>sensitivity</t>
  </si>
  <si>
    <t>trends</t>
  </si>
  <si>
    <t>westerlies</t>
  </si>
  <si>
    <t>PAGES 2k Network</t>
  </si>
  <si>
    <t>PAGES Africa 2k</t>
  </si>
  <si>
    <t>PAGES Antarctica 2k</t>
  </si>
  <si>
    <t>PAGES Arctic 2k</t>
  </si>
  <si>
    <t>PAGES Asia 2k</t>
  </si>
  <si>
    <t>PAGES NAmerica 2k</t>
  </si>
  <si>
    <t>millennial resolution</t>
  </si>
  <si>
    <t>ocean acidification</t>
  </si>
  <si>
    <t>thermal maximum</t>
  </si>
  <si>
    <t xml:space="preserve">*** USE ONLY CONTROLLED VOCABULARIES for columns B-J, available at &lt;https://www.ncdc.noaa.gov/paleo-search/cvterms&gt; </t>
  </si>
  <si>
    <t>Description</t>
  </si>
  <si>
    <t>dataID</t>
  </si>
  <si>
    <t>latitude</t>
  </si>
  <si>
    <t>latitude of site in decimal degrees North</t>
  </si>
  <si>
    <t>longitude</t>
  </si>
  <si>
    <t>longitude of site in decimal degrees East</t>
  </si>
  <si>
    <t>elevation of site in meters</t>
  </si>
  <si>
    <t>startYear</t>
  </si>
  <si>
    <t>start year in years CE</t>
  </si>
  <si>
    <t>endYear</t>
  </si>
  <si>
    <t>end year in years CE</t>
  </si>
  <si>
    <t>Citation</t>
  </si>
  <si>
    <t>citation text or DOI for original publication source of data</t>
  </si>
  <si>
    <t>Any additional information about the use of the record that is not covered in the fields above</t>
  </si>
  <si>
    <t>dataset ID  NOTE: This field should match the name of the corresponding .rwl file, so file abc999.rwl would have abc999 in this column</t>
  </si>
  <si>
    <t>Site Name</t>
  </si>
  <si>
    <t>name for the site where the data was collected</t>
  </si>
  <si>
    <t>Country or US State where site is located</t>
  </si>
  <si>
    <t>Citation2</t>
  </si>
  <si>
    <t>If necessary, citation text or DOI for secondary publication associated with data</t>
  </si>
  <si>
    <t>speciescode</t>
  </si>
  <si>
    <t>4-letter code of tree species used</t>
  </si>
  <si>
    <t>species</t>
  </si>
  <si>
    <r>
      <t xml:space="preserve">Full species name, </t>
    </r>
    <r>
      <rPr>
        <sz val="11"/>
        <color rgb="FFFF0000"/>
        <rFont val="Calibri"/>
        <family val="2"/>
        <scheme val="minor"/>
      </rPr>
      <t>only necessary if speciescode is not filled out</t>
    </r>
  </si>
  <si>
    <t>investigators</t>
  </si>
  <si>
    <t>semicolon separated list of investigators (last, first; last2, first2)</t>
  </si>
  <si>
    <t>funding_agency</t>
  </si>
  <si>
    <t>grant</t>
  </si>
  <si>
    <t>funding agency name, if applicable</t>
  </si>
  <si>
    <t>grant number, if applicable</t>
  </si>
  <si>
    <t>Germany</t>
  </si>
  <si>
    <t>QUPE</t>
  </si>
  <si>
    <t>QURO</t>
  </si>
  <si>
    <t>Wolf Creek</t>
  </si>
  <si>
    <t>Taylor Bog</t>
  </si>
  <si>
    <t>Nevada</t>
  </si>
  <si>
    <t>NWC01</t>
  </si>
  <si>
    <t>GTB02</t>
  </si>
  <si>
    <t>Argentina</t>
  </si>
  <si>
    <t>Australia</t>
  </si>
  <si>
    <t>Bahamas</t>
  </si>
  <si>
    <t>Pinus elliottii</t>
  </si>
  <si>
    <t>Bangladesh</t>
  </si>
  <si>
    <t>Pinkston</t>
  </si>
  <si>
    <t>JURG_08</t>
  </si>
  <si>
    <t>TOUS_01</t>
  </si>
  <si>
    <t>JGAU</t>
  </si>
  <si>
    <t>TOCI</t>
  </si>
  <si>
    <t>CKTA</t>
  </si>
  <si>
    <t>PIAH_01</t>
  </si>
  <si>
    <t>CHAN_01</t>
  </si>
  <si>
    <t>Atherton Island</t>
  </si>
  <si>
    <t>Bridgetown</t>
  </si>
  <si>
    <t>Walters National Park</t>
  </si>
  <si>
    <t>Smith, Z.A.; Jones, A.B.</t>
  </si>
  <si>
    <t>Grant, Lawrence</t>
  </si>
  <si>
    <t>Choben, L.K.; Pronek, A.R.</t>
  </si>
  <si>
    <t>Cutter, Chris; Newman, Jerome</t>
  </si>
  <si>
    <t>10.1007/s11252-9999</t>
  </si>
  <si>
    <t>10.1007/s11258-2222</t>
  </si>
  <si>
    <t>10.8999/by890-3456</t>
  </si>
  <si>
    <t>Grant et al. (2022), Tree-ring Growth Data. Nature, 99, 123-129.</t>
  </si>
  <si>
    <t>US National Science Foundation</t>
  </si>
  <si>
    <t>ZZ-9876</t>
  </si>
  <si>
    <t>NOAA and World Data Center Paleoclimatology Program Data Contribution Template</t>
  </si>
  <si>
    <t>Feb 2017: Add "Description" field to Original_Source_URL, Add "Additional_Info" text block field to Variable table on Data tab</t>
  </si>
  <si>
    <t>Jan 2016: Add Online_Resource and Edition to Publication section</t>
  </si>
  <si>
    <t>Dec 2015: Remove units on core length. Require meters in core length field above.</t>
  </si>
  <si>
    <t>May 2015: Version 2.0- Added dynamic Parameter Keyword selection lists based on proxy type. Added Tree_Species_Code line.</t>
  </si>
  <si>
    <t>9/9/2014: Added Location and Country to Site information</t>
  </si>
  <si>
    <t>6/5/14: Remove blank column between Short_Name and What in Variables section of Data Tab</t>
  </si>
  <si>
    <t>9/3/13: Add "About" tab and version information</t>
  </si>
  <si>
    <t>Version 4.1</t>
  </si>
  <si>
    <t>Apr 2020: Changed "Archive" tag to "Data_Type", removed unused "Country" tag under Site_Information</t>
  </si>
  <si>
    <t>Mar 2021: Put Science_Keywords in top section of Metadata tab, add Parameter_Keywords tag to Data_Collection section</t>
  </si>
  <si>
    <t>June 2022: Add ITRDB tab for bulk contributions of tree-ring records</t>
  </si>
  <si>
    <t>ITRDB_Metadata</t>
  </si>
  <si>
    <t>Description of ITRDB Metadata Fields</t>
  </si>
  <si>
    <t>There is no need to change Orange cells. This is the metadata we'd like for the records used. Leave cells blank if no data exists for that field.</t>
  </si>
  <si>
    <t>Investigators [Lastname, first (ORCID); lastname2, first2 (ORCID),etc. ]</t>
  </si>
  <si>
    <t>Study Title [where, what, when (time period covered)]</t>
  </si>
  <si>
    <t>Original Source_URL [if applicable]</t>
  </si>
  <si>
    <r>
      <t xml:space="preserve">NOAAScience Keywords [optional, </t>
    </r>
    <r>
      <rPr>
        <b/>
        <sz val="11"/>
        <color rgb="FFFF0000"/>
        <rFont val="Calibri"/>
        <family val="2"/>
        <scheme val="minor"/>
      </rPr>
      <t>select any that apply</t>
    </r>
    <r>
      <rPr>
        <sz val="11"/>
        <color theme="1"/>
        <rFont val="Calibri"/>
        <family val="2"/>
        <scheme val="minor"/>
      </rPr>
      <t xml:space="preserve"> from Cell D6 list]</t>
    </r>
  </si>
  <si>
    <t>Smith, J.K.(0000-0000-9999-1234); Jones T.Y.(0000-0000-9999-9876)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</si>
</sst>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  <family val="2"/>
    </font>
    <font>
      <b/>
      <sz val="10"/>
      <color theme="0"/>
      <name val="Calibri"/>
      <family val="2"/>
      <scheme val="minor"/>
    </font>
    <font>
      <sz val="10"/>
      <color rgb="FF9C57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7" fillId="0" borderId="0" applyNumberFormat="0" applyFill="0" applyBorder="0" applyAlignment="0" applyProtection="0"/>
    <xf numFmtId="0" fontId="14" fillId="6" borderId="3" applyNumberFormat="0" applyAlignment="0" applyProtection="0"/>
    <xf numFmtId="0" fontId="16" fillId="0" borderId="0"/>
  </cellStyleXfs>
  <cellXfs count="41">
    <xf numFmtId="0" fontId="0" fillId="0" borderId="0" xfId="0"/>
    <xf numFmtId="0" fontId="0" fillId="4" borderId="0" xfId="0" applyFill="1"/>
    <xf numFmtId="0" fontId="5" fillId="4" borderId="0" xfId="0" applyFont="1" applyFill="1"/>
    <xf numFmtId="0" fontId="3" fillId="0" borderId="0" xfId="0" applyFont="1"/>
    <xf numFmtId="0" fontId="2" fillId="3" borderId="1" xfId="2"/>
    <xf numFmtId="0" fontId="1" fillId="2" borderId="0" xfId="1"/>
    <xf numFmtId="0" fontId="0" fillId="4" borderId="0" xfId="0" applyFill="1" applyBorder="1"/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4" fillId="0" borderId="0" xfId="0" applyFont="1"/>
    <xf numFmtId="0" fontId="1" fillId="2" borderId="2" xfId="1" applyBorder="1" applyAlignment="1"/>
    <xf numFmtId="0" fontId="2" fillId="3" borderId="1" xfId="2" applyAlignment="1">
      <alignment horizontal="center"/>
    </xf>
    <xf numFmtId="0" fontId="2" fillId="3" borderId="1" xfId="2" applyAlignme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8" fillId="0" borderId="0" xfId="0" applyFont="1" applyAlignment="1">
      <alignment vertical="center"/>
    </xf>
    <xf numFmtId="0" fontId="9" fillId="3" borderId="1" xfId="2" applyFont="1"/>
    <xf numFmtId="0" fontId="10" fillId="2" borderId="0" xfId="1" applyFont="1"/>
    <xf numFmtId="0" fontId="5" fillId="0" borderId="0" xfId="0" applyFont="1"/>
    <xf numFmtId="0" fontId="11" fillId="0" borderId="0" xfId="3" applyFont="1"/>
    <xf numFmtId="0" fontId="9" fillId="3" borderId="1" xfId="2" applyFont="1" applyAlignment="1">
      <alignment horizontal="center"/>
    </xf>
    <xf numFmtId="0" fontId="9" fillId="3" borderId="1" xfId="2" applyFont="1" applyAlignment="1"/>
    <xf numFmtId="0" fontId="12" fillId="0" borderId="0" xfId="0" applyFont="1"/>
    <xf numFmtId="2" fontId="5" fillId="0" borderId="0" xfId="0" applyNumberFormat="1" applyFont="1"/>
    <xf numFmtId="0" fontId="13" fillId="5" borderId="0" xfId="0" applyFont="1" applyFill="1"/>
    <xf numFmtId="0" fontId="0" fillId="0" borderId="0" xfId="0" applyFill="1"/>
    <xf numFmtId="0" fontId="14" fillId="6" borderId="3" xfId="4"/>
    <xf numFmtId="0" fontId="15" fillId="0" borderId="0" xfId="0" applyFont="1"/>
    <xf numFmtId="1" fontId="0" fillId="0" borderId="0" xfId="0" applyNumberFormat="1"/>
    <xf numFmtId="1" fontId="2" fillId="3" borderId="1" xfId="2" applyNumberFormat="1" applyAlignment="1">
      <alignment horizontal="center"/>
    </xf>
    <xf numFmtId="1" fontId="14" fillId="6" borderId="3" xfId="4" applyNumberFormat="1"/>
    <xf numFmtId="2" fontId="0" fillId="0" borderId="0" xfId="0" applyNumberFormat="1"/>
    <xf numFmtId="0" fontId="16" fillId="0" borderId="0" xfId="5" applyNumberFormat="1" applyFont="1" applyFill="1" applyBorder="1" applyAlignment="1"/>
    <xf numFmtId="0" fontId="17" fillId="0" borderId="0" xfId="5" applyNumberFormat="1" applyFont="1" applyFill="1" applyBorder="1" applyAlignment="1"/>
    <xf numFmtId="0" fontId="0" fillId="0" borderId="0" xfId="0" applyNumberFormat="1" applyAlignment="1"/>
    <xf numFmtId="14" fontId="0" fillId="0" borderId="0" xfId="0" applyNumberFormat="1"/>
  </cellXfs>
  <cellStyles count="6">
    <cellStyle name="Check Cell" xfId="2" builtinId="23"/>
    <cellStyle name="Hyperlink" xfId="3" builtinId="8"/>
    <cellStyle name="Input" xfId="4" builtinId="20"/>
    <cellStyle name="Neutral" xfId="1" builtinId="28"/>
    <cellStyle name="Normal" xfId="0" builtinId="0"/>
    <cellStyle name="Standard 2" xfId="5" xr:uid="{7708B786-CCB4-4AD5-AE97-C05D0C515C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1.ncdc.noaa.gov/pub/data/paleo/templates/Variable_naming_guide.pdf" TargetMode="External"/><Relationship Id="rId1" Type="http://schemas.openxmlformats.org/officeDocument/2006/relationships/hyperlink" Target="https://www.ncdc.noaa.gov/paleo-search/cvterm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F3EE8-EE72-4DC2-B3A8-170C95E7DD26}">
  <sheetPr codeName="Sheet12"/>
  <dimension ref="A1:A13"/>
  <sheetViews>
    <sheetView workbookViewId="0">
      <selection activeCell="B15" sqref="B15"/>
    </sheetView>
  </sheetViews>
  <sheetFormatPr defaultRowHeight="14.5"/>
  <sheetData>
    <row r="1" spans="1:1">
      <c r="A1" t="s">
        <v>477</v>
      </c>
    </row>
    <row r="2" spans="1:1">
      <c r="A2" t="s">
        <v>485</v>
      </c>
    </row>
    <row r="4" spans="1:1">
      <c r="A4" t="s">
        <v>488</v>
      </c>
    </row>
    <row r="5" spans="1:1">
      <c r="A5" t="s">
        <v>487</v>
      </c>
    </row>
    <row r="6" spans="1:1">
      <c r="A6" t="s">
        <v>486</v>
      </c>
    </row>
    <row r="7" spans="1:1">
      <c r="A7" t="s">
        <v>478</v>
      </c>
    </row>
    <row r="8" spans="1:1">
      <c r="A8" t="s">
        <v>479</v>
      </c>
    </row>
    <row r="9" spans="1:1">
      <c r="A9" t="s">
        <v>480</v>
      </c>
    </row>
    <row r="10" spans="1:1">
      <c r="A10" t="s">
        <v>481</v>
      </c>
    </row>
    <row r="11" spans="1:1">
      <c r="A11" s="40" t="s">
        <v>482</v>
      </c>
    </row>
    <row r="12" spans="1:1">
      <c r="A12" t="s">
        <v>483</v>
      </c>
    </row>
    <row r="13" spans="1:1">
      <c r="A13" t="s">
        <v>484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189A-17CD-4F62-9A69-8A734F54187E}">
  <sheetPr codeName="Sheet1"/>
  <dimension ref="A1:E51"/>
  <sheetViews>
    <sheetView tabSelected="1" workbookViewId="0">
      <selection activeCell="B2" sqref="B2"/>
    </sheetView>
  </sheetViews>
  <sheetFormatPr defaultRowHeight="14.5"/>
  <cols>
    <col min="1" max="1" width="57.453125" customWidth="1"/>
    <col min="2" max="2" width="31.1796875" customWidth="1"/>
    <col min="3" max="3" width="21.1796875" customWidth="1"/>
    <col min="4" max="4" width="23.453125" customWidth="1"/>
    <col min="5" max="5" width="19.1796875" customWidth="1"/>
  </cols>
  <sheetData>
    <row r="1" spans="1:5">
      <c r="A1" t="s">
        <v>0</v>
      </c>
    </row>
    <row r="2" spans="1:5">
      <c r="A2" s="1" t="s">
        <v>493</v>
      </c>
    </row>
    <row r="3" spans="1:5">
      <c r="A3" s="1" t="s">
        <v>494</v>
      </c>
    </row>
    <row r="4" spans="1:5">
      <c r="A4" s="1" t="s">
        <v>1</v>
      </c>
    </row>
    <row r="5" spans="1:5">
      <c r="A5" s="1" t="s">
        <v>492</v>
      </c>
      <c r="D5" s="5" t="s">
        <v>359</v>
      </c>
    </row>
    <row r="6" spans="1:5">
      <c r="A6" s="1" t="s">
        <v>2</v>
      </c>
      <c r="B6" t="s">
        <v>3</v>
      </c>
      <c r="C6" s="2" t="s">
        <v>395</v>
      </c>
      <c r="D6" t="s">
        <v>396</v>
      </c>
      <c r="E6" s="3"/>
    </row>
    <row r="7" spans="1:5">
      <c r="A7" s="1" t="s">
        <v>495</v>
      </c>
    </row>
    <row r="8" spans="1:5">
      <c r="A8" s="1" t="s">
        <v>5</v>
      </c>
    </row>
    <row r="9" spans="1:5">
      <c r="A9" s="1" t="s">
        <v>6</v>
      </c>
    </row>
    <row r="10" spans="1:5" ht="15" thickBot="1"/>
    <row r="11" spans="1:5" ht="15.5" thickTop="1" thickBot="1">
      <c r="A11" s="4" t="s">
        <v>7</v>
      </c>
      <c r="B11" s="5" t="s">
        <v>8</v>
      </c>
    </row>
    <row r="12" spans="1:5" ht="15" thickTop="1">
      <c r="A12" s="1" t="s">
        <v>9</v>
      </c>
    </row>
    <row r="13" spans="1:5">
      <c r="A13" s="1" t="s">
        <v>10</v>
      </c>
    </row>
    <row r="14" spans="1:5">
      <c r="A14" s="1" t="s">
        <v>11</v>
      </c>
    </row>
    <row r="15" spans="1:5">
      <c r="A15" s="1" t="s">
        <v>12</v>
      </c>
    </row>
    <row r="16" spans="1:5">
      <c r="A16" s="1" t="s">
        <v>13</v>
      </c>
    </row>
    <row r="17" spans="1:3">
      <c r="A17" s="1" t="s">
        <v>14</v>
      </c>
    </row>
    <row r="18" spans="1:3">
      <c r="A18" s="1" t="s">
        <v>15</v>
      </c>
    </row>
    <row r="19" spans="1:3">
      <c r="A19" s="1" t="s">
        <v>16</v>
      </c>
    </row>
    <row r="20" spans="1:3">
      <c r="A20" s="1" t="s">
        <v>17</v>
      </c>
    </row>
    <row r="21" spans="1:3">
      <c r="A21" s="1" t="s">
        <v>18</v>
      </c>
    </row>
    <row r="22" spans="1:3">
      <c r="A22" s="1" t="s">
        <v>19</v>
      </c>
    </row>
    <row r="23" spans="1:3">
      <c r="A23" s="1" t="s">
        <v>20</v>
      </c>
    </row>
    <row r="24" spans="1:3">
      <c r="A24" s="1" t="s">
        <v>21</v>
      </c>
    </row>
    <row r="25" spans="1:3" ht="15" thickBot="1"/>
    <row r="26" spans="1:3" ht="15.5" thickTop="1" thickBot="1">
      <c r="A26" s="4" t="s">
        <v>22</v>
      </c>
      <c r="B26" s="5" t="s">
        <v>23</v>
      </c>
    </row>
    <row r="27" spans="1:3" ht="15" thickTop="1">
      <c r="A27" s="1" t="s">
        <v>24</v>
      </c>
    </row>
    <row r="28" spans="1:3">
      <c r="A28" s="1" t="s">
        <v>25</v>
      </c>
    </row>
    <row r="29" spans="1:3">
      <c r="A29" s="1" t="s">
        <v>26</v>
      </c>
    </row>
    <row r="30" spans="1:3">
      <c r="A30" s="1" t="s">
        <v>27</v>
      </c>
      <c r="C30" s="5" t="s">
        <v>28</v>
      </c>
    </row>
    <row r="31" spans="1:3">
      <c r="A31" s="1" t="s">
        <v>29</v>
      </c>
    </row>
    <row r="32" spans="1:3">
      <c r="A32" s="1" t="s">
        <v>30</v>
      </c>
      <c r="C32" s="5" t="s">
        <v>31</v>
      </c>
    </row>
    <row r="33" spans="1:4">
      <c r="A33" s="1" t="s">
        <v>32</v>
      </c>
    </row>
    <row r="34" spans="1:4" ht="15" thickBot="1"/>
    <row r="35" spans="1:4" ht="15.5" thickTop="1" thickBot="1">
      <c r="A35" s="4" t="s">
        <v>33</v>
      </c>
    </row>
    <row r="36" spans="1:4" ht="15" thickTop="1">
      <c r="A36" s="6" t="s">
        <v>34</v>
      </c>
    </row>
    <row r="37" spans="1:4">
      <c r="A37" s="6" t="s">
        <v>35</v>
      </c>
    </row>
    <row r="38" spans="1:4">
      <c r="A38" s="6" t="s">
        <v>36</v>
      </c>
      <c r="D38" s="5" t="s">
        <v>198</v>
      </c>
    </row>
    <row r="39" spans="1:4">
      <c r="A39" s="6" t="s">
        <v>37</v>
      </c>
      <c r="B39" t="s">
        <v>392</v>
      </c>
      <c r="C39" s="1" t="s">
        <v>197</v>
      </c>
      <c r="D39" t="s">
        <v>396</v>
      </c>
    </row>
    <row r="40" spans="1:4">
      <c r="A40" s="1" t="s">
        <v>397</v>
      </c>
      <c r="C40" s="30"/>
    </row>
    <row r="41" spans="1:4">
      <c r="A41" s="6" t="s">
        <v>38</v>
      </c>
    </row>
    <row r="42" spans="1:4">
      <c r="A42" s="6" t="s">
        <v>39</v>
      </c>
    </row>
    <row r="43" spans="1:4" ht="15" thickBot="1"/>
    <row r="44" spans="1:4" ht="15.5" thickTop="1" thickBot="1">
      <c r="A44" s="4" t="s">
        <v>40</v>
      </c>
      <c r="B44" s="5" t="s">
        <v>41</v>
      </c>
    </row>
    <row r="45" spans="1:4" ht="15" thickTop="1">
      <c r="A45" s="6" t="s">
        <v>42</v>
      </c>
    </row>
    <row r="46" spans="1:4">
      <c r="A46" s="6" t="s">
        <v>43</v>
      </c>
    </row>
    <row r="47" spans="1:4">
      <c r="A47" s="6" t="s">
        <v>44</v>
      </c>
    </row>
    <row r="48" spans="1:4" ht="15" thickBot="1"/>
    <row r="49" spans="1:2" ht="15.5" thickTop="1" thickBot="1">
      <c r="A49" s="4" t="s">
        <v>45</v>
      </c>
      <c r="B49" s="5" t="s">
        <v>46</v>
      </c>
    </row>
    <row r="50" spans="1:2" ht="15" thickTop="1">
      <c r="A50" s="6" t="s">
        <v>47</v>
      </c>
    </row>
    <row r="51" spans="1:2">
      <c r="A51" s="6" t="s">
        <v>48</v>
      </c>
    </row>
  </sheetData>
  <dataValidations count="2">
    <dataValidation type="list" allowBlank="1" showInputMessage="1" showErrorMessage="1" sqref="D39:D40" xr:uid="{C4BE6FAB-1D5E-4469-B1B0-BCD6AF72823A}">
      <formula1>INDIRECT(SUBSTITUTE($B$6," ","_"))</formula1>
    </dataValidation>
    <dataValidation type="list" allowBlank="1" showInputMessage="1" showErrorMessage="1" sqref="B39" xr:uid="{94DA438E-A6B9-4F20-AFED-0174FC02B3A9}">
      <formula1>"Select unit,year Common Era,calendar year before present,radiocarbon year before present"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011814-9A4A-4983-AA2D-EBC21A080811}">
          <x14:formula1>
            <xm:f>ProxyAndReconstructionInfo!$A$3:$A$23</xm:f>
          </x14:formula1>
          <xm:sqref>B6</xm:sqref>
        </x14:dataValidation>
        <x14:dataValidation type="list" allowBlank="1" showInputMessage="1" showErrorMessage="1" promptTitle="NOAA Science Keywords" prompt="List of Valid Keywords to use in Cell B7" xr:uid="{AE69DD90-E203-499A-AE17-560BD1122855}">
          <x14:formula1>
            <xm:f>NOAASciKeywords!A1:A89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A6F96-0F62-464A-98FC-A38A48F61F85}">
  <sheetPr codeName="Sheet4"/>
  <dimension ref="A1:Q24"/>
  <sheetViews>
    <sheetView workbookViewId="0">
      <selection activeCell="A5" sqref="A5"/>
    </sheetView>
  </sheetViews>
  <sheetFormatPr defaultRowHeight="14.5"/>
  <cols>
    <col min="1" max="1" width="51.81640625" customWidth="1"/>
  </cols>
  <sheetData>
    <row r="1" spans="1:2" ht="15.5" thickTop="1" thickBot="1">
      <c r="A1" s="4" t="s">
        <v>199</v>
      </c>
      <c r="B1" s="5" t="s">
        <v>200</v>
      </c>
    </row>
    <row r="2" spans="1:2" ht="15" thickTop="1">
      <c r="A2" s="1" t="s">
        <v>201</v>
      </c>
    </row>
    <row r="3" spans="1:2">
      <c r="A3" s="1" t="s">
        <v>202</v>
      </c>
    </row>
    <row r="4" spans="1:2">
      <c r="A4" s="6" t="s">
        <v>203</v>
      </c>
      <c r="B4" s="5" t="s">
        <v>204</v>
      </c>
    </row>
    <row r="24" spans="1:17">
      <c r="A24" s="13"/>
      <c r="B24" s="3"/>
      <c r="C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E77F6-CD2D-493B-B6C5-E50240AA8703}">
  <sheetPr codeName="Sheet5"/>
  <dimension ref="A1:M11"/>
  <sheetViews>
    <sheetView workbookViewId="0">
      <selection activeCell="A3" sqref="A3"/>
    </sheetView>
  </sheetViews>
  <sheetFormatPr defaultRowHeight="14.5"/>
  <cols>
    <col min="1" max="1" width="16" customWidth="1"/>
    <col min="6" max="6" width="10.54296875" customWidth="1"/>
    <col min="7" max="7" width="10.81640625" customWidth="1"/>
    <col min="10" max="10" width="12.453125" customWidth="1"/>
    <col min="11" max="11" width="20.54296875" customWidth="1"/>
  </cols>
  <sheetData>
    <row r="1" spans="1:13" ht="15.5" thickTop="1" thickBot="1">
      <c r="A1" s="4" t="s">
        <v>205</v>
      </c>
      <c r="B1" s="5" t="s">
        <v>206</v>
      </c>
      <c r="J1" s="10" t="s">
        <v>207</v>
      </c>
    </row>
    <row r="2" spans="1:13" ht="15.5" thickTop="1" thickBot="1">
      <c r="A2" s="11" t="s">
        <v>208</v>
      </c>
      <c r="B2" s="11" t="s">
        <v>209</v>
      </c>
      <c r="C2" s="11" t="s">
        <v>210</v>
      </c>
      <c r="D2" s="11" t="s">
        <v>211</v>
      </c>
      <c r="E2" s="11" t="s">
        <v>212</v>
      </c>
      <c r="F2" s="11" t="s">
        <v>213</v>
      </c>
      <c r="G2" s="11" t="s">
        <v>2</v>
      </c>
      <c r="H2" s="11" t="s">
        <v>214</v>
      </c>
      <c r="I2" s="11" t="s">
        <v>215</v>
      </c>
      <c r="J2" s="12" t="s">
        <v>216</v>
      </c>
      <c r="K2" s="12" t="s">
        <v>217</v>
      </c>
      <c r="M2" s="5" t="s">
        <v>218</v>
      </c>
    </row>
    <row r="3" spans="1:13" ht="15" thickTop="1"/>
    <row r="4" spans="1:13">
      <c r="A4" s="29" t="s">
        <v>412</v>
      </c>
    </row>
    <row r="5" spans="1:13">
      <c r="A5" s="29" t="s">
        <v>394</v>
      </c>
    </row>
    <row r="6" spans="1:13">
      <c r="A6" s="29" t="s">
        <v>393</v>
      </c>
    </row>
    <row r="8" spans="1:13" ht="15" thickBot="1">
      <c r="A8" s="27"/>
      <c r="B8" s="27"/>
      <c r="C8" s="27"/>
      <c r="D8" s="27"/>
      <c r="E8" s="27"/>
      <c r="F8" s="27"/>
      <c r="G8" s="27"/>
      <c r="H8" s="27"/>
      <c r="I8" s="27"/>
      <c r="J8" s="27"/>
      <c r="K8" s="23"/>
    </row>
    <row r="9" spans="1:13" ht="15.5" thickTop="1" thickBot="1">
      <c r="A9" s="4" t="s">
        <v>219</v>
      </c>
      <c r="B9" s="5" t="s">
        <v>220</v>
      </c>
    </row>
    <row r="10" spans="1:13" ht="15.5" thickTop="1" thickBot="1">
      <c r="A10" s="4" t="s">
        <v>221</v>
      </c>
      <c r="D10" s="5" t="s">
        <v>222</v>
      </c>
    </row>
    <row r="11" spans="1:13" ht="15" thickTop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AD040-29B2-4CA3-B7F2-D916FA9C39CF}">
  <sheetPr codeName="Sheet10"/>
  <dimension ref="A1:P1"/>
  <sheetViews>
    <sheetView workbookViewId="0">
      <selection activeCell="A2" sqref="A2"/>
    </sheetView>
  </sheetViews>
  <sheetFormatPr defaultRowHeight="14.5"/>
  <cols>
    <col min="1" max="1" width="29.1796875" customWidth="1"/>
    <col min="2" max="2" width="47" customWidth="1"/>
  </cols>
  <sheetData>
    <row r="1" spans="1:16">
      <c r="A1" s="31" t="s">
        <v>414</v>
      </c>
      <c r="B1" s="31" t="s">
        <v>428</v>
      </c>
      <c r="C1" s="31" t="s">
        <v>25</v>
      </c>
      <c r="D1" s="31" t="s">
        <v>415</v>
      </c>
      <c r="E1" s="31" t="s">
        <v>417</v>
      </c>
      <c r="F1" s="31" t="s">
        <v>137</v>
      </c>
      <c r="G1" s="31" t="s">
        <v>433</v>
      </c>
      <c r="H1" s="31" t="s">
        <v>435</v>
      </c>
      <c r="I1" s="31" t="s">
        <v>420</v>
      </c>
      <c r="J1" s="31" t="s">
        <v>422</v>
      </c>
      <c r="K1" s="31" t="s">
        <v>437</v>
      </c>
      <c r="L1" s="31" t="s">
        <v>424</v>
      </c>
      <c r="M1" s="31" t="s">
        <v>431</v>
      </c>
      <c r="N1" s="31" t="s">
        <v>439</v>
      </c>
      <c r="O1" s="31" t="s">
        <v>440</v>
      </c>
      <c r="P1" s="31" t="s">
        <v>297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A8CA-A854-47AF-AF69-3FE520AA0F06}">
  <sheetPr codeName="Sheet11"/>
  <dimension ref="A1:P27"/>
  <sheetViews>
    <sheetView workbookViewId="0">
      <selection activeCell="A19" sqref="A19"/>
    </sheetView>
  </sheetViews>
  <sheetFormatPr defaultRowHeight="14.5"/>
  <cols>
    <col min="1" max="1" width="41.26953125" customWidth="1"/>
    <col min="2" max="2" width="43" customWidth="1"/>
    <col min="6" max="6" width="8.81640625" style="33"/>
    <col min="12" max="12" width="21.81640625" customWidth="1"/>
  </cols>
  <sheetData>
    <row r="1" spans="1:11" ht="15.5" thickTop="1" thickBot="1">
      <c r="A1" s="4" t="s">
        <v>490</v>
      </c>
      <c r="B1" s="3"/>
    </row>
    <row r="2" spans="1:11" ht="15.5" thickTop="1" thickBot="1">
      <c r="A2" s="11" t="s">
        <v>208</v>
      </c>
      <c r="B2" s="11" t="s">
        <v>413</v>
      </c>
      <c r="C2" s="11"/>
      <c r="D2" s="11"/>
      <c r="E2" s="11"/>
      <c r="F2" s="34"/>
      <c r="G2" s="11"/>
      <c r="H2" s="11"/>
      <c r="I2" s="11"/>
      <c r="J2" s="12"/>
      <c r="K2" s="12"/>
    </row>
    <row r="3" spans="1:11" ht="15" thickTop="1">
      <c r="A3" s="31" t="s">
        <v>414</v>
      </c>
      <c r="B3" s="31" t="s">
        <v>427</v>
      </c>
      <c r="I3" t="s">
        <v>330</v>
      </c>
    </row>
    <row r="4" spans="1:11">
      <c r="A4" s="31" t="s">
        <v>428</v>
      </c>
      <c r="B4" s="31" t="s">
        <v>429</v>
      </c>
      <c r="H4" s="32"/>
    </row>
    <row r="5" spans="1:11">
      <c r="A5" s="31" t="s">
        <v>25</v>
      </c>
      <c r="B5" s="31" t="s">
        <v>430</v>
      </c>
      <c r="H5" s="32"/>
    </row>
    <row r="6" spans="1:11">
      <c r="A6" s="31" t="s">
        <v>415</v>
      </c>
      <c r="B6" s="31" t="s">
        <v>416</v>
      </c>
      <c r="H6" s="32"/>
    </row>
    <row r="7" spans="1:11">
      <c r="A7" s="31" t="s">
        <v>417</v>
      </c>
      <c r="B7" s="31" t="s">
        <v>418</v>
      </c>
      <c r="H7" s="32"/>
    </row>
    <row r="8" spans="1:11">
      <c r="A8" s="31" t="s">
        <v>137</v>
      </c>
      <c r="B8" s="31" t="s">
        <v>419</v>
      </c>
      <c r="H8" s="32"/>
    </row>
    <row r="9" spans="1:11">
      <c r="A9" s="31" t="s">
        <v>433</v>
      </c>
      <c r="B9" s="31" t="s">
        <v>434</v>
      </c>
      <c r="H9" s="32"/>
    </row>
    <row r="10" spans="1:11">
      <c r="A10" s="31" t="s">
        <v>435</v>
      </c>
      <c r="B10" s="31" t="s">
        <v>436</v>
      </c>
      <c r="H10" s="32"/>
    </row>
    <row r="11" spans="1:11">
      <c r="A11" s="31" t="s">
        <v>420</v>
      </c>
      <c r="B11" s="31" t="s">
        <v>421</v>
      </c>
      <c r="H11" s="32"/>
    </row>
    <row r="12" spans="1:11">
      <c r="A12" s="31" t="s">
        <v>422</v>
      </c>
      <c r="B12" s="31" t="s">
        <v>423</v>
      </c>
      <c r="H12" s="32"/>
    </row>
    <row r="13" spans="1:11">
      <c r="A13" s="31" t="s">
        <v>437</v>
      </c>
      <c r="B13" s="31" t="s">
        <v>438</v>
      </c>
      <c r="H13" s="32"/>
    </row>
    <row r="14" spans="1:11">
      <c r="A14" s="31" t="s">
        <v>424</v>
      </c>
      <c r="B14" s="31" t="s">
        <v>425</v>
      </c>
      <c r="H14" s="32"/>
    </row>
    <row r="15" spans="1:11">
      <c r="A15" s="31" t="s">
        <v>431</v>
      </c>
      <c r="B15" s="31" t="s">
        <v>432</v>
      </c>
      <c r="H15" s="32"/>
    </row>
    <row r="16" spans="1:11">
      <c r="A16" s="31" t="s">
        <v>439</v>
      </c>
      <c r="B16" s="31" t="s">
        <v>441</v>
      </c>
      <c r="H16" s="32"/>
    </row>
    <row r="17" spans="1:16">
      <c r="A17" s="31" t="s">
        <v>440</v>
      </c>
      <c r="B17" s="31" t="s">
        <v>442</v>
      </c>
    </row>
    <row r="18" spans="1:16">
      <c r="A18" s="31" t="s">
        <v>297</v>
      </c>
      <c r="B18" s="31" t="s">
        <v>426</v>
      </c>
    </row>
    <row r="19" spans="1:16" ht="15" thickBot="1"/>
    <row r="20" spans="1:16" ht="15.5" thickTop="1" thickBot="1">
      <c r="A20" s="4" t="s">
        <v>489</v>
      </c>
      <c r="B20" s="3" t="s">
        <v>491</v>
      </c>
    </row>
    <row r="21" spans="1:16" ht="15" thickTop="1">
      <c r="A21" s="31" t="s">
        <v>414</v>
      </c>
      <c r="B21" s="31" t="s">
        <v>428</v>
      </c>
      <c r="C21" s="31" t="s">
        <v>25</v>
      </c>
      <c r="D21" s="31" t="s">
        <v>415</v>
      </c>
      <c r="E21" s="31" t="s">
        <v>417</v>
      </c>
      <c r="F21" s="35" t="s">
        <v>137</v>
      </c>
      <c r="G21" s="31" t="s">
        <v>433</v>
      </c>
      <c r="H21" s="31" t="s">
        <v>435</v>
      </c>
      <c r="I21" s="31" t="s">
        <v>420</v>
      </c>
      <c r="J21" s="31" t="s">
        <v>422</v>
      </c>
      <c r="K21" s="31" t="s">
        <v>437</v>
      </c>
      <c r="L21" s="31" t="s">
        <v>424</v>
      </c>
      <c r="M21" s="31" t="s">
        <v>431</v>
      </c>
      <c r="N21" s="31" t="s">
        <v>439</v>
      </c>
      <c r="O21" s="31" t="s">
        <v>440</v>
      </c>
      <c r="P21" s="31" t="s">
        <v>297</v>
      </c>
    </row>
    <row r="22" spans="1:16" s="39" customFormat="1">
      <c r="A22" s="37" t="s">
        <v>449</v>
      </c>
      <c r="B22" s="37" t="s">
        <v>446</v>
      </c>
      <c r="C22" s="37" t="s">
        <v>448</v>
      </c>
      <c r="D22" s="37">
        <v>-110.5231</v>
      </c>
      <c r="E22" s="37">
        <v>36.744999999999997</v>
      </c>
      <c r="F22" s="37">
        <v>542</v>
      </c>
      <c r="G22" s="38" t="s">
        <v>444</v>
      </c>
      <c r="H22" s="38"/>
      <c r="I22" s="37">
        <v>1793</v>
      </c>
      <c r="J22" s="37">
        <v>2016</v>
      </c>
      <c r="K22" s="37" t="s">
        <v>470</v>
      </c>
      <c r="L22" s="39" t="s">
        <v>471</v>
      </c>
      <c r="N22" s="39" t="s">
        <v>475</v>
      </c>
      <c r="O22" s="39" t="s">
        <v>476</v>
      </c>
    </row>
    <row r="23" spans="1:16" s="39" customFormat="1">
      <c r="A23" s="37" t="s">
        <v>450</v>
      </c>
      <c r="B23" s="37" t="s">
        <v>447</v>
      </c>
      <c r="C23" s="37" t="s">
        <v>443</v>
      </c>
      <c r="D23" s="37">
        <v>13.627000000000001</v>
      </c>
      <c r="E23" s="37">
        <v>52.418999999999997</v>
      </c>
      <c r="F23" s="37">
        <v>123</v>
      </c>
      <c r="G23" s="38" t="s">
        <v>445</v>
      </c>
      <c r="H23" s="38"/>
      <c r="I23" s="37">
        <v>1879</v>
      </c>
      <c r="J23" s="37">
        <v>2016</v>
      </c>
      <c r="K23" s="37" t="s">
        <v>470</v>
      </c>
      <c r="L23" s="39" t="s">
        <v>471</v>
      </c>
    </row>
    <row r="24" spans="1:16">
      <c r="A24" t="s">
        <v>457</v>
      </c>
      <c r="B24" t="s">
        <v>456</v>
      </c>
      <c r="C24" s="30" t="s">
        <v>451</v>
      </c>
      <c r="D24" s="36">
        <v>-24.216666669999999</v>
      </c>
      <c r="E24" s="36">
        <v>-65.133333329999999</v>
      </c>
      <c r="F24">
        <v>1893</v>
      </c>
      <c r="G24" t="s">
        <v>459</v>
      </c>
      <c r="I24">
        <v>1875</v>
      </c>
      <c r="J24">
        <v>2003</v>
      </c>
      <c r="K24" t="s">
        <v>467</v>
      </c>
      <c r="L24" t="s">
        <v>472</v>
      </c>
    </row>
    <row r="25" spans="1:16">
      <c r="A25" t="s">
        <v>458</v>
      </c>
      <c r="B25" t="s">
        <v>464</v>
      </c>
      <c r="C25" s="30" t="s">
        <v>452</v>
      </c>
      <c r="D25" s="36">
        <v>-17.283332999999999</v>
      </c>
      <c r="E25" s="36">
        <v>145.566667</v>
      </c>
      <c r="F25">
        <v>720</v>
      </c>
      <c r="G25" t="s">
        <v>460</v>
      </c>
      <c r="I25">
        <v>1602</v>
      </c>
      <c r="J25">
        <v>2000</v>
      </c>
      <c r="K25" t="s">
        <v>467</v>
      </c>
      <c r="L25" t="s">
        <v>472</v>
      </c>
    </row>
    <row r="26" spans="1:16">
      <c r="A26" t="s">
        <v>462</v>
      </c>
      <c r="B26" t="s">
        <v>465</v>
      </c>
      <c r="C26" s="30" t="s">
        <v>453</v>
      </c>
      <c r="D26" s="36">
        <v>26.296119999999998</v>
      </c>
      <c r="E26" s="36">
        <v>-77.159467000000006</v>
      </c>
      <c r="F26">
        <v>10</v>
      </c>
      <c r="H26" t="s">
        <v>454</v>
      </c>
      <c r="I26">
        <v>1905</v>
      </c>
      <c r="J26">
        <v>2002</v>
      </c>
      <c r="K26" t="s">
        <v>468</v>
      </c>
      <c r="L26" t="s">
        <v>474</v>
      </c>
    </row>
    <row r="27" spans="1:16">
      <c r="A27" t="s">
        <v>463</v>
      </c>
      <c r="B27" t="s">
        <v>466</v>
      </c>
      <c r="C27" s="30" t="s">
        <v>455</v>
      </c>
      <c r="D27" s="36">
        <v>24.342309</v>
      </c>
      <c r="E27" s="36">
        <v>91.798300999999995</v>
      </c>
      <c r="F27">
        <v>100</v>
      </c>
      <c r="G27" t="s">
        <v>461</v>
      </c>
      <c r="I27">
        <v>1899</v>
      </c>
      <c r="J27">
        <v>2012</v>
      </c>
      <c r="K27" t="s">
        <v>469</v>
      </c>
      <c r="L27" t="s">
        <v>473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265E4-C70D-45E8-BD94-F144249F3E79}">
  <sheetPr codeName="Sheet6"/>
  <dimension ref="A1:C51"/>
  <sheetViews>
    <sheetView workbookViewId="0">
      <selection activeCell="B2" sqref="B2"/>
    </sheetView>
  </sheetViews>
  <sheetFormatPr defaultRowHeight="14.5"/>
  <cols>
    <col min="1" max="1" width="68.81640625" customWidth="1"/>
    <col min="2" max="2" width="35.81640625" customWidth="1"/>
    <col min="3" max="3" width="20.54296875" customWidth="1"/>
    <col min="4" max="4" width="10.81640625" customWidth="1"/>
  </cols>
  <sheetData>
    <row r="1" spans="1:3">
      <c r="A1" t="s">
        <v>223</v>
      </c>
    </row>
    <row r="2" spans="1:3">
      <c r="A2" s="1" t="s">
        <v>493</v>
      </c>
      <c r="B2" t="s">
        <v>224</v>
      </c>
    </row>
    <row r="3" spans="1:3">
      <c r="A3" s="1" t="s">
        <v>494</v>
      </c>
      <c r="B3" t="s">
        <v>225</v>
      </c>
    </row>
    <row r="4" spans="1:3">
      <c r="A4" s="1" t="s">
        <v>1</v>
      </c>
      <c r="B4" t="s">
        <v>226</v>
      </c>
    </row>
    <row r="5" spans="1:3">
      <c r="A5" s="1" t="s">
        <v>492</v>
      </c>
      <c r="B5" t="s">
        <v>496</v>
      </c>
    </row>
    <row r="6" spans="1:3">
      <c r="A6" s="1" t="s">
        <v>2</v>
      </c>
      <c r="B6" t="s">
        <v>141</v>
      </c>
      <c r="C6" s="2" t="s">
        <v>4</v>
      </c>
    </row>
    <row r="7" spans="1:3">
      <c r="A7" s="1" t="s">
        <v>495</v>
      </c>
      <c r="B7" t="s">
        <v>361</v>
      </c>
    </row>
    <row r="8" spans="1:3">
      <c r="A8" s="1" t="s">
        <v>5</v>
      </c>
      <c r="B8" t="s">
        <v>227</v>
      </c>
    </row>
    <row r="9" spans="1:3">
      <c r="A9" s="1" t="s">
        <v>360</v>
      </c>
    </row>
    <row r="10" spans="1:3" ht="15" thickBot="1"/>
    <row r="11" spans="1:3" ht="15.5" thickTop="1" thickBot="1">
      <c r="A11" s="4" t="s">
        <v>7</v>
      </c>
      <c r="B11" s="5" t="s">
        <v>8</v>
      </c>
    </row>
    <row r="12" spans="1:3" ht="15" thickTop="1">
      <c r="A12" s="1" t="s">
        <v>228</v>
      </c>
      <c r="B12" t="s">
        <v>229</v>
      </c>
      <c r="C12" t="s">
        <v>230</v>
      </c>
    </row>
    <row r="13" spans="1:3">
      <c r="A13" s="1" t="s">
        <v>231</v>
      </c>
      <c r="B13" t="s">
        <v>232</v>
      </c>
      <c r="C13" t="s">
        <v>233</v>
      </c>
    </row>
    <row r="14" spans="1:3">
      <c r="A14" s="1" t="s">
        <v>11</v>
      </c>
      <c r="B14" t="s">
        <v>234</v>
      </c>
      <c r="C14" t="s">
        <v>141</v>
      </c>
    </row>
    <row r="15" spans="1:3">
      <c r="A15" s="1" t="s">
        <v>12</v>
      </c>
      <c r="B15">
        <v>2013</v>
      </c>
      <c r="C15">
        <v>2012</v>
      </c>
    </row>
    <row r="16" spans="1:3">
      <c r="A16" s="1" t="s">
        <v>13</v>
      </c>
      <c r="B16">
        <v>43</v>
      </c>
      <c r="C16">
        <v>12</v>
      </c>
    </row>
    <row r="17" spans="1:3">
      <c r="A17" s="1" t="s">
        <v>14</v>
      </c>
    </row>
    <row r="18" spans="1:3">
      <c r="A18" s="1" t="s">
        <v>15</v>
      </c>
    </row>
    <row r="19" spans="1:3">
      <c r="A19" s="1" t="s">
        <v>16</v>
      </c>
      <c r="B19" t="s">
        <v>235</v>
      </c>
      <c r="C19" t="s">
        <v>236</v>
      </c>
    </row>
    <row r="20" spans="1:3">
      <c r="A20" s="1" t="s">
        <v>237</v>
      </c>
      <c r="C20" t="s">
        <v>238</v>
      </c>
    </row>
    <row r="21" spans="1:3">
      <c r="A21" s="1" t="s">
        <v>18</v>
      </c>
      <c r="B21" t="s">
        <v>239</v>
      </c>
      <c r="C21" t="s">
        <v>240</v>
      </c>
    </row>
    <row r="22" spans="1:3">
      <c r="A22" s="1" t="s">
        <v>19</v>
      </c>
    </row>
    <row r="23" spans="1:3">
      <c r="A23" s="1" t="s">
        <v>20</v>
      </c>
      <c r="B23" t="s">
        <v>241</v>
      </c>
      <c r="C23" t="s">
        <v>242</v>
      </c>
    </row>
    <row r="24" spans="1:3">
      <c r="A24" s="1" t="s">
        <v>243</v>
      </c>
    </row>
    <row r="25" spans="1:3" ht="15" thickBot="1"/>
    <row r="26" spans="1:3" ht="15.5" thickTop="1" thickBot="1">
      <c r="A26" s="4" t="s">
        <v>22</v>
      </c>
    </row>
    <row r="27" spans="1:3" ht="15" thickTop="1">
      <c r="A27" s="1" t="s">
        <v>24</v>
      </c>
      <c r="B27" t="s">
        <v>244</v>
      </c>
    </row>
    <row r="28" spans="1:3">
      <c r="A28" s="1" t="s">
        <v>25</v>
      </c>
      <c r="B28" t="s">
        <v>245</v>
      </c>
    </row>
    <row r="29" spans="1:3">
      <c r="A29" s="1" t="s">
        <v>26</v>
      </c>
      <c r="B29">
        <v>40</v>
      </c>
    </row>
    <row r="30" spans="1:3">
      <c r="A30" s="1" t="s">
        <v>27</v>
      </c>
      <c r="B30">
        <v>-10</v>
      </c>
    </row>
    <row r="31" spans="1:3">
      <c r="A31" s="1" t="s">
        <v>29</v>
      </c>
      <c r="B31">
        <v>-12.75</v>
      </c>
    </row>
    <row r="32" spans="1:3">
      <c r="A32" s="1" t="s">
        <v>30</v>
      </c>
      <c r="B32">
        <v>15</v>
      </c>
    </row>
    <row r="33" spans="1:3">
      <c r="A33" s="1" t="s">
        <v>32</v>
      </c>
      <c r="B33">
        <v>300</v>
      </c>
    </row>
    <row r="34" spans="1:3" ht="15" thickBot="1"/>
    <row r="35" spans="1:3" ht="15.5" thickTop="1" thickBot="1">
      <c r="A35" s="4" t="s">
        <v>33</v>
      </c>
    </row>
    <row r="36" spans="1:3" ht="15" thickTop="1">
      <c r="A36" s="6" t="s">
        <v>34</v>
      </c>
      <c r="B36" t="s">
        <v>246</v>
      </c>
    </row>
    <row r="37" spans="1:3">
      <c r="A37" s="6" t="s">
        <v>35</v>
      </c>
      <c r="B37">
        <v>90000</v>
      </c>
    </row>
    <row r="38" spans="1:3">
      <c r="A38" s="6" t="s">
        <v>247</v>
      </c>
      <c r="B38">
        <v>0</v>
      </c>
    </row>
    <row r="39" spans="1:3">
      <c r="A39" s="6" t="s">
        <v>37</v>
      </c>
      <c r="B39" t="s">
        <v>248</v>
      </c>
    </row>
    <row r="40" spans="1:3">
      <c r="A40" s="1" t="s">
        <v>363</v>
      </c>
      <c r="B40" t="s">
        <v>362</v>
      </c>
      <c r="C40" s="1" t="s">
        <v>197</v>
      </c>
    </row>
    <row r="41" spans="1:3">
      <c r="A41" s="6" t="s">
        <v>38</v>
      </c>
      <c r="B41" t="s">
        <v>249</v>
      </c>
    </row>
    <row r="42" spans="1:3">
      <c r="A42" s="6" t="s">
        <v>39</v>
      </c>
    </row>
    <row r="43" spans="1:3" ht="15" thickBot="1"/>
    <row r="44" spans="1:3" ht="15.5" thickTop="1" thickBot="1">
      <c r="A44" s="4" t="s">
        <v>250</v>
      </c>
      <c r="B44" s="5" t="s">
        <v>41</v>
      </c>
    </row>
    <row r="45" spans="1:3" ht="15" thickTop="1">
      <c r="A45" s="6" t="s">
        <v>42</v>
      </c>
      <c r="B45" t="s">
        <v>251</v>
      </c>
    </row>
    <row r="46" spans="1:3">
      <c r="A46" s="6" t="s">
        <v>252</v>
      </c>
      <c r="B46" t="s">
        <v>253</v>
      </c>
    </row>
    <row r="47" spans="1:3">
      <c r="A47" s="6" t="s">
        <v>44</v>
      </c>
      <c r="B47" t="s">
        <v>254</v>
      </c>
      <c r="C47" t="s">
        <v>364</v>
      </c>
    </row>
    <row r="48" spans="1:3" ht="15" thickBot="1"/>
    <row r="49" spans="1:3" ht="15.5" thickTop="1" thickBot="1">
      <c r="A49" s="4" t="s">
        <v>45</v>
      </c>
      <c r="B49" s="5" t="s">
        <v>46</v>
      </c>
    </row>
    <row r="50" spans="1:3" ht="15" thickTop="1">
      <c r="A50" s="6" t="s">
        <v>47</v>
      </c>
      <c r="B50" t="s">
        <v>255</v>
      </c>
      <c r="C50" t="s">
        <v>256</v>
      </c>
    </row>
    <row r="51" spans="1:3">
      <c r="A51" s="6" t="s">
        <v>48</v>
      </c>
      <c r="B51" t="s">
        <v>257</v>
      </c>
      <c r="C51" t="s">
        <v>258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04A40-2CDE-4DD2-BA60-1B965B68B804}">
  <sheetPr codeName="Sheet7"/>
  <dimension ref="A1:Q32"/>
  <sheetViews>
    <sheetView topLeftCell="A8" workbookViewId="0">
      <selection activeCell="A6" sqref="A6:B24"/>
    </sheetView>
  </sheetViews>
  <sheetFormatPr defaultColWidth="64.1796875" defaultRowHeight="14.5"/>
  <cols>
    <col min="1" max="1" width="61.54296875" customWidth="1"/>
    <col min="2" max="2" width="41.81640625" customWidth="1"/>
    <col min="3" max="3" width="12.7265625" customWidth="1"/>
    <col min="4" max="13" width="8.81640625" customWidth="1"/>
    <col min="14" max="16" width="14.7265625" customWidth="1"/>
    <col min="17" max="17" width="5.54296875" customWidth="1"/>
  </cols>
  <sheetData>
    <row r="1" spans="1:2" ht="15.5" thickTop="1" thickBot="1">
      <c r="A1" s="4" t="s">
        <v>199</v>
      </c>
      <c r="B1" s="5" t="s">
        <v>259</v>
      </c>
    </row>
    <row r="2" spans="1:2" ht="15" thickTop="1">
      <c r="A2" s="1" t="s">
        <v>201</v>
      </c>
    </row>
    <row r="3" spans="1:2">
      <c r="A3" s="1" t="s">
        <v>202</v>
      </c>
    </row>
    <row r="4" spans="1:2">
      <c r="A4" s="6" t="s">
        <v>203</v>
      </c>
      <c r="B4" s="5" t="s">
        <v>204</v>
      </c>
    </row>
    <row r="5" spans="1:2">
      <c r="A5" t="s">
        <v>260</v>
      </c>
    </row>
    <row r="6" spans="1:2">
      <c r="A6" t="s">
        <v>261</v>
      </c>
      <c r="B6" t="s">
        <v>262</v>
      </c>
    </row>
    <row r="7" spans="1:2">
      <c r="A7" t="s">
        <v>263</v>
      </c>
      <c r="B7" t="s">
        <v>264</v>
      </c>
    </row>
    <row r="8" spans="1:2">
      <c r="A8" t="s">
        <v>265</v>
      </c>
      <c r="B8" t="s">
        <v>266</v>
      </c>
    </row>
    <row r="9" spans="1:2">
      <c r="A9" t="s">
        <v>267</v>
      </c>
      <c r="B9" t="s">
        <v>268</v>
      </c>
    </row>
    <row r="10" spans="1:2">
      <c r="A10" t="s">
        <v>269</v>
      </c>
      <c r="B10" t="s">
        <v>270</v>
      </c>
    </row>
    <row r="11" spans="1:2">
      <c r="A11" t="s">
        <v>271</v>
      </c>
      <c r="B11" t="s">
        <v>272</v>
      </c>
    </row>
    <row r="12" spans="1:2">
      <c r="A12" t="s">
        <v>273</v>
      </c>
      <c r="B12" t="s">
        <v>274</v>
      </c>
    </row>
    <row r="13" spans="1:2">
      <c r="A13" t="s">
        <v>275</v>
      </c>
      <c r="B13" t="s">
        <v>276</v>
      </c>
    </row>
    <row r="14" spans="1:2">
      <c r="A14" t="s">
        <v>277</v>
      </c>
      <c r="B14" t="s">
        <v>278</v>
      </c>
    </row>
    <row r="15" spans="1:2">
      <c r="A15" t="s">
        <v>279</v>
      </c>
      <c r="B15" t="s">
        <v>280</v>
      </c>
    </row>
    <row r="16" spans="1:2">
      <c r="A16" t="s">
        <v>281</v>
      </c>
      <c r="B16" t="s">
        <v>282</v>
      </c>
    </row>
    <row r="17" spans="1:17">
      <c r="A17" t="s">
        <v>283</v>
      </c>
      <c r="B17" t="s">
        <v>284</v>
      </c>
    </row>
    <row r="18" spans="1:17">
      <c r="A18" t="s">
        <v>285</v>
      </c>
      <c r="B18" t="s">
        <v>286</v>
      </c>
    </row>
    <row r="19" spans="1:17">
      <c r="A19" t="s">
        <v>287</v>
      </c>
      <c r="B19" t="s">
        <v>288</v>
      </c>
    </row>
    <row r="20" spans="1:17">
      <c r="A20" t="s">
        <v>289</v>
      </c>
      <c r="B20" t="s">
        <v>290</v>
      </c>
    </row>
    <row r="21" spans="1:17">
      <c r="A21" t="s">
        <v>291</v>
      </c>
      <c r="B21" t="s">
        <v>292</v>
      </c>
    </row>
    <row r="22" spans="1:17">
      <c r="A22" t="s">
        <v>293</v>
      </c>
      <c r="B22" t="s">
        <v>294</v>
      </c>
    </row>
    <row r="23" spans="1:17">
      <c r="A23" t="s">
        <v>295</v>
      </c>
      <c r="B23" t="s">
        <v>296</v>
      </c>
    </row>
    <row r="24" spans="1:17">
      <c r="A24" t="s">
        <v>297</v>
      </c>
      <c r="B24" t="s">
        <v>38</v>
      </c>
    </row>
    <row r="25" spans="1:17">
      <c r="A25" s="13"/>
      <c r="B25" s="3"/>
      <c r="C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>
      <c r="A26" s="14" t="s">
        <v>298</v>
      </c>
      <c r="B26" s="14" t="s">
        <v>263</v>
      </c>
      <c r="C26" s="14" t="s">
        <v>265</v>
      </c>
      <c r="D26" s="14" t="s">
        <v>299</v>
      </c>
      <c r="E26" s="14" t="s">
        <v>269</v>
      </c>
      <c r="F26" s="14" t="s">
        <v>300</v>
      </c>
      <c r="G26" s="14" t="s">
        <v>301</v>
      </c>
      <c r="H26" s="14" t="s">
        <v>302</v>
      </c>
      <c r="I26" s="14" t="s">
        <v>303</v>
      </c>
      <c r="J26" s="14" t="s">
        <v>304</v>
      </c>
      <c r="K26" s="14" t="s">
        <v>305</v>
      </c>
      <c r="L26" s="14" t="s">
        <v>283</v>
      </c>
      <c r="M26" s="14" t="s">
        <v>289</v>
      </c>
      <c r="N26" s="14" t="s">
        <v>291</v>
      </c>
      <c r="O26" s="14" t="s">
        <v>306</v>
      </c>
      <c r="P26" s="14" t="s">
        <v>295</v>
      </c>
      <c r="Q26" s="14" t="s">
        <v>297</v>
      </c>
    </row>
    <row r="27" spans="1:17" s="17" customFormat="1" ht="29">
      <c r="A27" s="16" t="s">
        <v>322</v>
      </c>
      <c r="B27" s="19">
        <v>426.5</v>
      </c>
      <c r="C27" s="19">
        <v>426.5</v>
      </c>
      <c r="D27" s="16" t="s">
        <v>307</v>
      </c>
      <c r="E27" s="16"/>
      <c r="F27" s="16"/>
      <c r="G27" s="16"/>
      <c r="H27" s="16"/>
      <c r="I27" s="16"/>
      <c r="J27" s="16"/>
      <c r="K27" s="16"/>
      <c r="L27" s="19">
        <f>10347-50</f>
        <v>10297</v>
      </c>
      <c r="M27" s="19">
        <f>L27+134</f>
        <v>10431</v>
      </c>
      <c r="N27" s="19">
        <f>L27-134</f>
        <v>10163</v>
      </c>
      <c r="O27" s="16" t="s">
        <v>308</v>
      </c>
      <c r="P27" s="16"/>
      <c r="Q27" s="16"/>
    </row>
    <row r="28" spans="1:17">
      <c r="A28" s="14" t="s">
        <v>309</v>
      </c>
      <c r="B28" s="15">
        <v>432</v>
      </c>
      <c r="C28" s="15">
        <v>433</v>
      </c>
      <c r="D28" s="14" t="s">
        <v>310</v>
      </c>
      <c r="E28" s="15">
        <v>10198</v>
      </c>
      <c r="F28" s="15">
        <v>40</v>
      </c>
      <c r="G28" s="14" t="s">
        <v>311</v>
      </c>
      <c r="H28" s="14" t="s">
        <v>312</v>
      </c>
      <c r="I28" s="14"/>
      <c r="J28" s="14"/>
      <c r="K28" s="14"/>
      <c r="L28" s="15">
        <f>10817-50</f>
        <v>10767</v>
      </c>
      <c r="M28" s="15">
        <f>L28+450</f>
        <v>11217</v>
      </c>
      <c r="N28" s="15">
        <f>L28-450</f>
        <v>10317</v>
      </c>
      <c r="O28" s="17" t="s">
        <v>313</v>
      </c>
      <c r="P28" s="14"/>
      <c r="Q28" s="14"/>
    </row>
    <row r="29" spans="1:17">
      <c r="A29" s="14" t="s">
        <v>314</v>
      </c>
      <c r="B29" s="15">
        <v>442.5</v>
      </c>
      <c r="C29" s="15">
        <v>442.5</v>
      </c>
      <c r="D29" s="14" t="s">
        <v>315</v>
      </c>
      <c r="E29" s="15">
        <v>11920</v>
      </c>
      <c r="F29" s="15">
        <v>90</v>
      </c>
      <c r="G29" s="14" t="s">
        <v>311</v>
      </c>
      <c r="H29" s="14" t="s">
        <v>312</v>
      </c>
      <c r="I29" s="14"/>
      <c r="J29" s="14"/>
      <c r="K29" s="14"/>
      <c r="L29" s="15">
        <v>13344</v>
      </c>
      <c r="M29" s="18">
        <v>13135.5</v>
      </c>
      <c r="N29" s="18">
        <v>13552.5</v>
      </c>
      <c r="O29" s="17" t="s">
        <v>313</v>
      </c>
      <c r="P29" s="14"/>
      <c r="Q29" t="s">
        <v>316</v>
      </c>
    </row>
    <row r="30" spans="1:17">
      <c r="A30" s="14" t="s">
        <v>317</v>
      </c>
      <c r="B30" s="15">
        <v>452.5</v>
      </c>
      <c r="C30" s="15">
        <v>452.5</v>
      </c>
      <c r="D30" s="14" t="s">
        <v>315</v>
      </c>
      <c r="E30" s="15">
        <v>20470</v>
      </c>
      <c r="F30" s="15">
        <v>130</v>
      </c>
      <c r="G30" s="14" t="s">
        <v>311</v>
      </c>
      <c r="H30" s="14" t="s">
        <v>312</v>
      </c>
      <c r="I30" s="14">
        <v>200</v>
      </c>
      <c r="J30" s="14">
        <v>50</v>
      </c>
      <c r="K30" s="14">
        <v>50</v>
      </c>
      <c r="L30" s="15">
        <v>23974</v>
      </c>
      <c r="M30" s="18">
        <v>23589.5</v>
      </c>
      <c r="N30" s="18">
        <v>24358.5</v>
      </c>
      <c r="O30" s="17" t="s">
        <v>313</v>
      </c>
      <c r="P30" s="14" t="s">
        <v>318</v>
      </c>
      <c r="Q30" s="14"/>
    </row>
    <row r="31" spans="1:17" ht="17.649999999999999" customHeight="1">
      <c r="A31" s="14"/>
      <c r="B31" s="15">
        <v>462.5</v>
      </c>
      <c r="C31" s="15">
        <v>462.5</v>
      </c>
      <c r="D31" s="14" t="s">
        <v>319</v>
      </c>
      <c r="E31" s="14"/>
      <c r="F31" s="14"/>
      <c r="H31" s="14"/>
      <c r="I31" s="14"/>
      <c r="J31" s="14"/>
      <c r="K31" s="14"/>
      <c r="L31" s="15">
        <v>58000</v>
      </c>
      <c r="M31" s="15"/>
      <c r="N31" s="15"/>
      <c r="O31" s="16" t="s">
        <v>320</v>
      </c>
      <c r="P31" s="14"/>
      <c r="Q31" s="14"/>
    </row>
    <row r="32" spans="1:17" ht="17.649999999999999" customHeight="1">
      <c r="A32" s="14"/>
      <c r="B32" s="15">
        <v>499</v>
      </c>
      <c r="C32" s="15">
        <v>499.5</v>
      </c>
      <c r="D32" s="14" t="s">
        <v>319</v>
      </c>
      <c r="E32" s="14"/>
      <c r="F32" s="14"/>
      <c r="H32" s="14"/>
      <c r="I32" s="14"/>
      <c r="J32" s="14"/>
      <c r="K32" s="14"/>
      <c r="L32" s="15">
        <v>66000</v>
      </c>
      <c r="M32" s="15"/>
      <c r="N32" s="15"/>
      <c r="O32" s="16" t="s">
        <v>321</v>
      </c>
      <c r="P32" s="14"/>
      <c r="Q32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9542-7802-44A1-BDA7-B733C86B1908}">
  <sheetPr codeName="Sheet9"/>
  <dimension ref="A1:U11"/>
  <sheetViews>
    <sheetView workbookViewId="0">
      <selection activeCell="C13" sqref="C13"/>
    </sheetView>
  </sheetViews>
  <sheetFormatPr defaultRowHeight="14.5"/>
  <cols>
    <col min="1" max="1" width="36.453125" customWidth="1"/>
  </cols>
  <sheetData>
    <row r="1" spans="1:21" ht="15.5" thickTop="1" thickBot="1">
      <c r="A1" s="4" t="s">
        <v>199</v>
      </c>
      <c r="B1" s="5" t="s">
        <v>259</v>
      </c>
    </row>
    <row r="2" spans="1:21" ht="15" thickTop="1">
      <c r="A2" s="1" t="s">
        <v>201</v>
      </c>
    </row>
    <row r="3" spans="1:21">
      <c r="A3" s="1" t="s">
        <v>202</v>
      </c>
    </row>
    <row r="4" spans="1:21">
      <c r="A4" s="6" t="s">
        <v>203</v>
      </c>
      <c r="B4" s="5" t="s">
        <v>204</v>
      </c>
    </row>
    <row r="5" spans="1:21">
      <c r="A5" t="s">
        <v>365</v>
      </c>
      <c r="B5" t="s">
        <v>327</v>
      </c>
      <c r="C5" t="s">
        <v>366</v>
      </c>
      <c r="D5" t="s">
        <v>367</v>
      </c>
      <c r="E5" t="s">
        <v>368</v>
      </c>
      <c r="F5" t="s">
        <v>369</v>
      </c>
      <c r="G5" t="s">
        <v>370</v>
      </c>
      <c r="H5" t="s">
        <v>371</v>
      </c>
      <c r="I5" t="s">
        <v>372</v>
      </c>
      <c r="J5" t="s">
        <v>373</v>
      </c>
      <c r="K5" t="s">
        <v>374</v>
      </c>
      <c r="L5" t="s">
        <v>375</v>
      </c>
      <c r="M5" t="s">
        <v>376</v>
      </c>
      <c r="N5" t="s">
        <v>377</v>
      </c>
      <c r="O5" t="s">
        <v>378</v>
      </c>
      <c r="P5" t="s">
        <v>379</v>
      </c>
      <c r="Q5" t="s">
        <v>380</v>
      </c>
      <c r="R5" t="s">
        <v>381</v>
      </c>
      <c r="S5" t="s">
        <v>382</v>
      </c>
      <c r="T5" t="s">
        <v>379</v>
      </c>
      <c r="U5" t="s">
        <v>383</v>
      </c>
    </row>
    <row r="6" spans="1:21">
      <c r="A6" t="s">
        <v>384</v>
      </c>
      <c r="B6">
        <v>2</v>
      </c>
      <c r="C6">
        <v>534.1</v>
      </c>
      <c r="D6">
        <v>29.8</v>
      </c>
      <c r="E6">
        <v>3572</v>
      </c>
      <c r="F6">
        <v>72</v>
      </c>
      <c r="G6">
        <v>23</v>
      </c>
      <c r="H6">
        <v>1</v>
      </c>
      <c r="I6">
        <v>1233.2</v>
      </c>
      <c r="J6">
        <v>34.6</v>
      </c>
      <c r="K6">
        <v>9.2999999999999992E-3</v>
      </c>
      <c r="L6">
        <v>5.9999999999999995E-4</v>
      </c>
      <c r="M6">
        <v>457</v>
      </c>
      <c r="N6">
        <v>28</v>
      </c>
      <c r="O6">
        <v>370</v>
      </c>
      <c r="P6">
        <v>66</v>
      </c>
      <c r="Q6">
        <v>1234</v>
      </c>
      <c r="R6">
        <v>35</v>
      </c>
      <c r="S6">
        <v>303</v>
      </c>
      <c r="T6">
        <v>66</v>
      </c>
      <c r="U6" t="s">
        <v>385</v>
      </c>
    </row>
    <row r="7" spans="1:21">
      <c r="A7" t="s">
        <v>386</v>
      </c>
      <c r="B7">
        <v>3</v>
      </c>
      <c r="C7">
        <v>347</v>
      </c>
      <c r="D7">
        <v>0.4</v>
      </c>
      <c r="E7">
        <v>2320</v>
      </c>
      <c r="F7">
        <v>47</v>
      </c>
      <c r="G7">
        <v>23</v>
      </c>
      <c r="H7">
        <v>1</v>
      </c>
      <c r="I7">
        <v>1397.4</v>
      </c>
      <c r="J7">
        <v>2.7</v>
      </c>
      <c r="K7">
        <v>9.2999999999999992E-3</v>
      </c>
      <c r="L7">
        <v>5.9999999999999995E-4</v>
      </c>
      <c r="M7">
        <v>425</v>
      </c>
      <c r="N7">
        <v>26</v>
      </c>
      <c r="O7">
        <v>344</v>
      </c>
      <c r="P7">
        <v>63</v>
      </c>
      <c r="Q7">
        <v>1399</v>
      </c>
      <c r="R7">
        <v>3</v>
      </c>
      <c r="S7">
        <v>277</v>
      </c>
      <c r="T7">
        <v>63</v>
      </c>
      <c r="U7" t="s">
        <v>385</v>
      </c>
    </row>
    <row r="8" spans="1:21">
      <c r="A8" t="s">
        <v>387</v>
      </c>
      <c r="B8">
        <v>5</v>
      </c>
      <c r="C8">
        <v>395.9</v>
      </c>
      <c r="D8">
        <v>0.5</v>
      </c>
      <c r="E8">
        <v>46932</v>
      </c>
      <c r="F8">
        <v>941</v>
      </c>
      <c r="G8">
        <v>13</v>
      </c>
      <c r="H8">
        <v>0</v>
      </c>
      <c r="I8">
        <v>1436.5</v>
      </c>
      <c r="J8">
        <v>3</v>
      </c>
      <c r="K8">
        <v>9.6600000000000005E-2</v>
      </c>
      <c r="L8">
        <v>8.0000000000000004E-4</v>
      </c>
      <c r="M8">
        <v>4394</v>
      </c>
      <c r="N8">
        <v>39</v>
      </c>
      <c r="O8">
        <v>2978</v>
      </c>
      <c r="P8">
        <v>1004</v>
      </c>
      <c r="Q8">
        <v>1449</v>
      </c>
      <c r="R8">
        <v>5</v>
      </c>
      <c r="S8">
        <v>2911</v>
      </c>
      <c r="T8">
        <v>1004</v>
      </c>
      <c r="U8" t="s">
        <v>388</v>
      </c>
    </row>
    <row r="9" spans="1:21">
      <c r="A9" t="s">
        <v>389</v>
      </c>
      <c r="B9">
        <v>13</v>
      </c>
      <c r="C9">
        <v>423.3</v>
      </c>
      <c r="D9">
        <v>0.6</v>
      </c>
      <c r="E9">
        <v>11445</v>
      </c>
      <c r="F9">
        <v>229</v>
      </c>
      <c r="G9">
        <v>68</v>
      </c>
      <c r="H9">
        <v>1</v>
      </c>
      <c r="I9">
        <v>1325.1</v>
      </c>
      <c r="J9">
        <v>2.6</v>
      </c>
      <c r="K9">
        <v>0.1119</v>
      </c>
      <c r="L9">
        <v>5.9999999999999995E-4</v>
      </c>
      <c r="M9">
        <v>5356</v>
      </c>
      <c r="N9">
        <v>28</v>
      </c>
      <c r="O9">
        <v>5020</v>
      </c>
      <c r="P9">
        <v>239</v>
      </c>
      <c r="Q9">
        <v>1344</v>
      </c>
      <c r="R9">
        <v>3</v>
      </c>
      <c r="S9">
        <v>4953</v>
      </c>
      <c r="T9">
        <v>239</v>
      </c>
      <c r="U9" t="s">
        <v>388</v>
      </c>
    </row>
    <row r="10" spans="1:21">
      <c r="A10" t="s">
        <v>390</v>
      </c>
      <c r="B10">
        <v>25</v>
      </c>
      <c r="C10">
        <v>339.1</v>
      </c>
      <c r="D10">
        <v>0.5</v>
      </c>
      <c r="E10">
        <v>20790</v>
      </c>
      <c r="F10">
        <v>417</v>
      </c>
      <c r="G10">
        <v>18</v>
      </c>
      <c r="H10">
        <v>0</v>
      </c>
      <c r="I10">
        <v>1547.3</v>
      </c>
      <c r="J10">
        <v>3.2</v>
      </c>
      <c r="K10">
        <v>6.8199999999999997E-2</v>
      </c>
      <c r="L10">
        <v>6.9999999999999999E-4</v>
      </c>
      <c r="M10">
        <v>2952</v>
      </c>
      <c r="N10">
        <v>32</v>
      </c>
      <c r="O10">
        <v>2252</v>
      </c>
      <c r="P10">
        <v>496</v>
      </c>
      <c r="Q10">
        <v>1557</v>
      </c>
      <c r="R10">
        <v>4</v>
      </c>
      <c r="S10">
        <v>2185</v>
      </c>
      <c r="T10">
        <v>496</v>
      </c>
      <c r="U10" t="s">
        <v>388</v>
      </c>
    </row>
    <row r="11" spans="1:21">
      <c r="A11" t="s">
        <v>391</v>
      </c>
      <c r="B11">
        <v>26.5</v>
      </c>
      <c r="C11">
        <v>376.1</v>
      </c>
      <c r="D11">
        <v>0.6</v>
      </c>
      <c r="E11">
        <v>23045</v>
      </c>
      <c r="F11">
        <v>462</v>
      </c>
      <c r="G11">
        <v>34</v>
      </c>
      <c r="H11">
        <v>1</v>
      </c>
      <c r="I11">
        <v>1484.5</v>
      </c>
      <c r="J11">
        <v>3</v>
      </c>
      <c r="K11">
        <v>0.1265</v>
      </c>
      <c r="L11">
        <v>5.0000000000000001E-4</v>
      </c>
      <c r="M11">
        <v>5672</v>
      </c>
      <c r="N11">
        <v>25</v>
      </c>
      <c r="O11">
        <v>4959</v>
      </c>
      <c r="P11">
        <v>506</v>
      </c>
      <c r="Q11">
        <v>1505</v>
      </c>
      <c r="R11">
        <v>4</v>
      </c>
      <c r="S11">
        <v>4892</v>
      </c>
      <c r="T11">
        <v>506</v>
      </c>
      <c r="U11" t="s">
        <v>388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B12B3-106A-465E-A621-3580F7037FA3}">
  <sheetPr codeName="Sheet8"/>
  <dimension ref="A1:K25"/>
  <sheetViews>
    <sheetView topLeftCell="A4" workbookViewId="0">
      <selection activeCell="A12" sqref="A12:F25"/>
    </sheetView>
  </sheetViews>
  <sheetFormatPr defaultRowHeight="14.5"/>
  <cols>
    <col min="1" max="1" width="15.1796875" customWidth="1"/>
    <col min="2" max="2" width="18" customWidth="1"/>
    <col min="3" max="3" width="10.1796875" customWidth="1"/>
    <col min="4" max="4" width="19.54296875" customWidth="1"/>
    <col min="5" max="5" width="15" customWidth="1"/>
    <col min="7" max="7" width="19.54296875" customWidth="1"/>
    <col min="8" max="8" width="9.7265625" customWidth="1"/>
    <col min="9" max="9" width="19.1796875" customWidth="1"/>
    <col min="10" max="10" width="10" customWidth="1"/>
    <col min="11" max="11" width="21.453125" customWidth="1"/>
  </cols>
  <sheetData>
    <row r="1" spans="1:11" ht="15.5" thickTop="1" thickBot="1">
      <c r="A1" s="21" t="s">
        <v>205</v>
      </c>
      <c r="B1" s="22" t="s">
        <v>323</v>
      </c>
      <c r="C1" s="23"/>
      <c r="D1" s="23"/>
      <c r="E1" s="23" t="s">
        <v>324</v>
      </c>
      <c r="F1" s="24" t="s">
        <v>325</v>
      </c>
      <c r="G1" s="24" t="s">
        <v>326</v>
      </c>
      <c r="H1" s="23"/>
      <c r="I1" s="23"/>
      <c r="J1" s="23"/>
      <c r="K1" s="23"/>
    </row>
    <row r="2" spans="1:11" ht="15.5" thickTop="1" thickBot="1">
      <c r="A2" s="25" t="s">
        <v>208</v>
      </c>
      <c r="B2" s="25" t="s">
        <v>209</v>
      </c>
      <c r="C2" s="25" t="s">
        <v>210</v>
      </c>
      <c r="D2" s="25" t="s">
        <v>211</v>
      </c>
      <c r="E2" s="25" t="s">
        <v>212</v>
      </c>
      <c r="F2" s="25" t="s">
        <v>213</v>
      </c>
      <c r="G2" s="25" t="s">
        <v>2</v>
      </c>
      <c r="H2" s="25" t="s">
        <v>214</v>
      </c>
      <c r="I2" s="25" t="s">
        <v>215</v>
      </c>
      <c r="J2" s="26" t="s">
        <v>216</v>
      </c>
      <c r="K2" s="26" t="s">
        <v>217</v>
      </c>
    </row>
    <row r="3" spans="1:11" ht="15" thickTop="1">
      <c r="A3" s="27" t="s">
        <v>327</v>
      </c>
      <c r="B3" s="27" t="s">
        <v>328</v>
      </c>
      <c r="C3" s="27"/>
      <c r="D3" s="27"/>
      <c r="E3" s="27" t="s">
        <v>329</v>
      </c>
      <c r="F3" s="27"/>
      <c r="G3" s="27" t="s">
        <v>357</v>
      </c>
      <c r="H3" s="27"/>
      <c r="I3" s="27"/>
      <c r="J3" s="27" t="s">
        <v>330</v>
      </c>
      <c r="K3" s="23"/>
    </row>
    <row r="4" spans="1:11">
      <c r="A4" s="23" t="s">
        <v>331</v>
      </c>
      <c r="B4" s="23" t="s">
        <v>332</v>
      </c>
      <c r="C4" s="23"/>
      <c r="D4" s="23"/>
      <c r="E4" s="23" t="s">
        <v>333</v>
      </c>
      <c r="F4" s="23"/>
      <c r="G4" s="27" t="s">
        <v>357</v>
      </c>
      <c r="H4" s="23"/>
      <c r="I4" s="23"/>
      <c r="J4" s="23" t="s">
        <v>330</v>
      </c>
      <c r="K4" s="23"/>
    </row>
    <row r="5" spans="1:11">
      <c r="A5" s="27" t="s">
        <v>334</v>
      </c>
      <c r="B5" s="27" t="s">
        <v>335</v>
      </c>
      <c r="C5" s="27" t="s">
        <v>336</v>
      </c>
      <c r="D5" s="27"/>
      <c r="E5" s="27" t="s">
        <v>337</v>
      </c>
      <c r="F5" s="27"/>
      <c r="G5" s="27" t="s">
        <v>357</v>
      </c>
      <c r="H5" s="27" t="s">
        <v>338</v>
      </c>
      <c r="I5" s="27" t="s">
        <v>339</v>
      </c>
      <c r="J5" s="27" t="s">
        <v>330</v>
      </c>
      <c r="K5" s="27" t="s">
        <v>340</v>
      </c>
    </row>
    <row r="6" spans="1:11">
      <c r="A6" s="27" t="s">
        <v>341</v>
      </c>
      <c r="B6" s="27" t="s">
        <v>335</v>
      </c>
      <c r="C6" s="27" t="str">
        <f>C5</f>
        <v>Porites sp.</v>
      </c>
      <c r="D6" s="27" t="s">
        <v>342</v>
      </c>
      <c r="E6" s="27" t="s">
        <v>337</v>
      </c>
      <c r="F6" s="27"/>
      <c r="G6" s="27" t="s">
        <v>357</v>
      </c>
      <c r="H6" s="27" t="s">
        <v>338</v>
      </c>
      <c r="I6" s="27" t="s">
        <v>339</v>
      </c>
      <c r="J6" s="27" t="s">
        <v>330</v>
      </c>
      <c r="K6" s="27" t="s">
        <v>340</v>
      </c>
    </row>
    <row r="7" spans="1:11">
      <c r="A7" s="27" t="s">
        <v>343</v>
      </c>
      <c r="B7" s="27" t="s">
        <v>344</v>
      </c>
      <c r="C7" s="27" t="s">
        <v>345</v>
      </c>
      <c r="D7" s="27"/>
      <c r="E7" s="27" t="s">
        <v>346</v>
      </c>
      <c r="F7" s="27" t="s">
        <v>347</v>
      </c>
      <c r="G7" s="27" t="s">
        <v>357</v>
      </c>
      <c r="H7" s="27" t="s">
        <v>348</v>
      </c>
      <c r="I7" s="27" t="s">
        <v>349</v>
      </c>
      <c r="J7" s="27" t="s">
        <v>330</v>
      </c>
      <c r="K7" s="27" t="s">
        <v>350</v>
      </c>
    </row>
    <row r="8" spans="1:11">
      <c r="A8" s="27" t="s">
        <v>351</v>
      </c>
      <c r="B8" s="27" t="s">
        <v>127</v>
      </c>
      <c r="C8" s="27" t="s">
        <v>344</v>
      </c>
      <c r="D8" s="27"/>
      <c r="E8" s="27" t="s">
        <v>352</v>
      </c>
      <c r="F8" s="27" t="s">
        <v>353</v>
      </c>
      <c r="G8" s="27" t="s">
        <v>358</v>
      </c>
      <c r="H8" s="27"/>
      <c r="I8" s="27" t="s">
        <v>354</v>
      </c>
      <c r="J8" s="27" t="s">
        <v>330</v>
      </c>
      <c r="K8" s="23"/>
    </row>
    <row r="9" spans="1:11" ht="15" thickBo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</row>
    <row r="10" spans="1:11" ht="15.5" thickTop="1" thickBot="1">
      <c r="A10" s="21" t="s">
        <v>219</v>
      </c>
      <c r="B10" s="22" t="s">
        <v>355</v>
      </c>
      <c r="C10" s="23"/>
      <c r="D10" s="23"/>
      <c r="E10" s="23"/>
      <c r="F10" s="23"/>
      <c r="G10" s="23"/>
      <c r="H10" s="23"/>
      <c r="I10" s="23"/>
      <c r="J10" s="23"/>
      <c r="K10" s="23"/>
    </row>
    <row r="11" spans="1:11" ht="15.5" thickTop="1" thickBot="1">
      <c r="A11" s="21" t="s">
        <v>356</v>
      </c>
      <c r="B11" s="23">
        <v>-999</v>
      </c>
      <c r="C11" s="23"/>
      <c r="D11" s="22" t="s">
        <v>222</v>
      </c>
      <c r="E11" s="23"/>
      <c r="F11" s="23"/>
      <c r="G11" s="23"/>
      <c r="H11" s="23"/>
      <c r="I11" s="23"/>
      <c r="J11" s="23"/>
      <c r="K11" s="23"/>
    </row>
    <row r="12" spans="1:11" ht="15" thickTop="1">
      <c r="A12" s="27" t="s">
        <v>327</v>
      </c>
      <c r="B12" s="23" t="s">
        <v>331</v>
      </c>
      <c r="C12" s="27" t="s">
        <v>334</v>
      </c>
      <c r="D12" s="27" t="s">
        <v>341</v>
      </c>
      <c r="E12" s="27" t="s">
        <v>343</v>
      </c>
      <c r="F12" s="23" t="s">
        <v>351</v>
      </c>
      <c r="G12" s="23"/>
      <c r="H12" s="23"/>
      <c r="I12" s="23"/>
      <c r="J12" s="23"/>
      <c r="K12" s="23"/>
    </row>
    <row r="13" spans="1:11">
      <c r="A13" s="23">
        <v>100</v>
      </c>
      <c r="B13" s="23">
        <v>1860</v>
      </c>
      <c r="C13" s="28">
        <v>1.5671961919999999</v>
      </c>
      <c r="D13" s="28">
        <v>0.12537569535999998</v>
      </c>
      <c r="E13" s="20">
        <v>8.9719999999999995</v>
      </c>
      <c r="F13" s="23">
        <v>16.5</v>
      </c>
      <c r="G13" s="23"/>
      <c r="H13" s="23"/>
      <c r="I13" s="23"/>
      <c r="J13" s="23"/>
      <c r="K13" s="23"/>
    </row>
    <row r="14" spans="1:11">
      <c r="A14" s="23">
        <v>110</v>
      </c>
      <c r="B14" s="23">
        <v>1861</v>
      </c>
      <c r="C14" s="28">
        <v>1.4434169450000001</v>
      </c>
      <c r="D14" s="28">
        <v>0.11547335560000001</v>
      </c>
      <c r="E14" s="23">
        <v>9.0619999999999994</v>
      </c>
      <c r="F14" s="23">
        <v>17</v>
      </c>
      <c r="G14" s="23"/>
      <c r="H14" s="23"/>
      <c r="I14" s="23"/>
      <c r="J14" s="23"/>
      <c r="K14" s="23"/>
    </row>
    <row r="15" spans="1:11">
      <c r="A15" s="23">
        <v>120</v>
      </c>
      <c r="B15" s="23">
        <v>1862</v>
      </c>
      <c r="C15" s="28">
        <v>1.7904150000000001</v>
      </c>
      <c r="D15" s="28">
        <v>0.1432332</v>
      </c>
      <c r="E15" s="23">
        <v>9.1259999999999994</v>
      </c>
      <c r="F15" s="23">
        <v>17.3</v>
      </c>
      <c r="G15" s="23"/>
      <c r="H15" s="23"/>
      <c r="I15" s="23"/>
      <c r="J15" s="23"/>
      <c r="K15" s="23"/>
    </row>
    <row r="16" spans="1:11">
      <c r="A16" s="23">
        <v>130</v>
      </c>
      <c r="B16" s="23">
        <v>1863</v>
      </c>
      <c r="C16" s="28">
        <v>3.0155104000000001</v>
      </c>
      <c r="D16" s="28">
        <v>0.24124083200000002</v>
      </c>
      <c r="E16" s="23">
        <v>9.1690000000000005</v>
      </c>
      <c r="F16" s="23">
        <v>17.399999999999999</v>
      </c>
      <c r="G16" s="23"/>
      <c r="H16" s="23"/>
      <c r="I16" s="23"/>
      <c r="J16" s="23"/>
      <c r="K16" s="23"/>
    </row>
    <row r="17" spans="1:11">
      <c r="A17" s="23">
        <v>140</v>
      </c>
      <c r="B17" s="23">
        <v>1864</v>
      </c>
      <c r="C17" s="28">
        <v>2.9976883000000001</v>
      </c>
      <c r="D17" s="28">
        <v>0.23981506400000002</v>
      </c>
      <c r="E17" s="23">
        <v>8.9510000000000005</v>
      </c>
      <c r="F17" s="23">
        <v>16.5</v>
      </c>
      <c r="G17" s="23"/>
      <c r="H17" s="23"/>
      <c r="I17" s="23"/>
      <c r="J17" s="23"/>
      <c r="K17" s="23"/>
    </row>
    <row r="18" spans="1:11">
      <c r="A18" s="23">
        <v>150</v>
      </c>
      <c r="B18" s="23">
        <v>1865</v>
      </c>
      <c r="C18" s="28">
        <v>2.5760877999999998</v>
      </c>
      <c r="D18" s="28">
        <v>0.20608702399999998</v>
      </c>
      <c r="E18" s="23">
        <v>8.8539999999999992</v>
      </c>
      <c r="F18" s="23">
        <v>16.5</v>
      </c>
      <c r="G18" s="23"/>
      <c r="H18" s="23"/>
      <c r="I18" s="23"/>
      <c r="J18" s="23"/>
      <c r="K18" s="23"/>
    </row>
    <row r="19" spans="1:11">
      <c r="A19" s="23">
        <v>160</v>
      </c>
      <c r="B19" s="23">
        <v>1866</v>
      </c>
      <c r="C19" s="28">
        <v>2.0743605999999999</v>
      </c>
      <c r="D19" s="28">
        <v>0.16594884799999998</v>
      </c>
      <c r="E19" s="20">
        <v>8.9719999999999995</v>
      </c>
      <c r="F19" s="23">
        <v>16.5</v>
      </c>
      <c r="G19" s="23"/>
      <c r="H19" s="23"/>
      <c r="I19" s="23"/>
      <c r="J19" s="23"/>
      <c r="K19" s="23"/>
    </row>
    <row r="20" spans="1:11">
      <c r="A20" s="23">
        <v>170</v>
      </c>
      <c r="B20" s="23">
        <v>1867</v>
      </c>
      <c r="C20" s="28">
        <v>2.2605585000000001</v>
      </c>
      <c r="D20" s="28">
        <v>0.18084468000000001</v>
      </c>
      <c r="E20" s="23">
        <v>9.0619999999999994</v>
      </c>
      <c r="F20" s="23">
        <v>16.5</v>
      </c>
      <c r="G20" s="23"/>
      <c r="H20" s="23"/>
      <c r="I20" s="23"/>
      <c r="J20" s="23"/>
      <c r="K20" s="23"/>
    </row>
    <row r="21" spans="1:11">
      <c r="A21" s="23">
        <v>180</v>
      </c>
      <c r="B21" s="23">
        <v>1868</v>
      </c>
      <c r="C21" s="28">
        <v>3.2988282999999998</v>
      </c>
      <c r="D21" s="28">
        <v>0.263906264</v>
      </c>
      <c r="E21" s="23">
        <v>9.1259999999999994</v>
      </c>
      <c r="F21" s="23">
        <v>17.3</v>
      </c>
      <c r="G21" s="23"/>
      <c r="H21" s="23"/>
      <c r="I21" s="23"/>
      <c r="J21" s="23"/>
      <c r="K21" s="23"/>
    </row>
    <row r="22" spans="1:11">
      <c r="A22" s="23">
        <v>190</v>
      </c>
      <c r="B22" s="23">
        <v>1869</v>
      </c>
      <c r="C22" s="28">
        <v>2.6462824999999999</v>
      </c>
      <c r="D22" s="28">
        <v>0.21170259999999999</v>
      </c>
      <c r="E22" s="23">
        <v>9.1690000000000005</v>
      </c>
      <c r="F22" s="23">
        <v>17.399999999999999</v>
      </c>
      <c r="G22" s="23"/>
      <c r="H22" s="23"/>
      <c r="I22" s="23"/>
      <c r="J22" s="23"/>
      <c r="K22" s="23"/>
    </row>
    <row r="23" spans="1:11">
      <c r="A23" s="23">
        <v>200</v>
      </c>
      <c r="B23" s="23">
        <v>1870</v>
      </c>
      <c r="C23" s="28">
        <v>1.0812298</v>
      </c>
      <c r="D23" s="28">
        <v>8.6498383999999998E-2</v>
      </c>
      <c r="E23" s="23">
        <v>8.9510000000000005</v>
      </c>
      <c r="F23" s="23">
        <v>16.5</v>
      </c>
      <c r="G23" s="23"/>
      <c r="H23" s="23"/>
      <c r="I23" s="23"/>
      <c r="J23" s="23"/>
      <c r="K23" s="23"/>
    </row>
    <row r="24" spans="1:11">
      <c r="A24" s="23">
        <v>210</v>
      </c>
      <c r="B24" s="23">
        <v>1871</v>
      </c>
      <c r="C24" s="28">
        <v>1.0614752999999999</v>
      </c>
      <c r="D24" s="28">
        <v>8.4918023999999995E-2</v>
      </c>
      <c r="E24" s="23">
        <v>8.8539999999999992</v>
      </c>
      <c r="F24" s="23">
        <v>16.5</v>
      </c>
      <c r="G24" s="23"/>
      <c r="H24" s="23"/>
      <c r="I24" s="23"/>
      <c r="J24" s="23"/>
      <c r="K24" s="23"/>
    </row>
    <row r="25" spans="1:11">
      <c r="A25" s="23">
        <v>220</v>
      </c>
      <c r="B25" s="23">
        <v>1872</v>
      </c>
      <c r="C25" s="28">
        <v>2.0738408000000002</v>
      </c>
      <c r="D25" s="28">
        <v>0.16590726400000003</v>
      </c>
      <c r="E25" s="23">
        <v>9.1180000000000003</v>
      </c>
      <c r="F25" s="23">
        <v>17</v>
      </c>
      <c r="G25" s="23"/>
      <c r="H25" s="23"/>
      <c r="I25" s="23"/>
      <c r="J25" s="23"/>
      <c r="K25" s="23"/>
    </row>
  </sheetData>
  <hyperlinks>
    <hyperlink ref="G1" r:id="rId1" xr:uid="{2D0AC114-E8F5-4B4A-95F4-15764E6F670D}"/>
    <hyperlink ref="F1" r:id="rId2" xr:uid="{DB8D5A0F-1961-42D6-9F40-37423D4A72C9}"/>
  </hyperlinks>
  <pageMargins left="0.7" right="0.7" top="0.75" bottom="0.75" header="0.3" footer="0.3"/>
  <pageSetup orientation="portrait" horizontalDpi="1200" verticalDpi="1200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1FB2E-99D6-4365-9ECD-600ECF482C5D}">
  <sheetPr codeName="Sheet2"/>
  <dimension ref="A1:V129"/>
  <sheetViews>
    <sheetView topLeftCell="E1" workbookViewId="0">
      <selection activeCell="Q3" sqref="Q3"/>
    </sheetView>
  </sheetViews>
  <sheetFormatPr defaultRowHeight="14.5"/>
  <cols>
    <col min="2" max="2" width="20.7265625" customWidth="1"/>
    <col min="4" max="4" width="12.54296875" customWidth="1"/>
    <col min="5" max="5" width="11.453125" customWidth="1"/>
    <col min="6" max="6" width="17.1796875" customWidth="1"/>
    <col min="13" max="13" width="17.453125" customWidth="1"/>
    <col min="14" max="14" width="13.26953125" customWidth="1"/>
    <col min="18" max="18" width="11.54296875" customWidth="1"/>
    <col min="19" max="19" width="10.7265625" customWidth="1"/>
  </cols>
  <sheetData>
    <row r="1" spans="1:22">
      <c r="A1" s="3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  <c r="K1" s="1" t="s">
        <v>58</v>
      </c>
      <c r="L1" s="7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1" t="s">
        <v>68</v>
      </c>
      <c r="V1" s="1" t="s">
        <v>69</v>
      </c>
    </row>
    <row r="2" spans="1:22">
      <c r="D2" t="s">
        <v>70</v>
      </c>
      <c r="E2" t="s">
        <v>71</v>
      </c>
      <c r="F2" t="s">
        <v>72</v>
      </c>
      <c r="G2" t="s">
        <v>72</v>
      </c>
      <c r="H2" t="s">
        <v>73</v>
      </c>
      <c r="I2" t="s">
        <v>74</v>
      </c>
      <c r="J2" t="s">
        <v>72</v>
      </c>
      <c r="K2" t="s">
        <v>75</v>
      </c>
      <c r="L2" t="s">
        <v>76</v>
      </c>
      <c r="M2" t="s">
        <v>72</v>
      </c>
      <c r="N2" t="s">
        <v>72</v>
      </c>
      <c r="O2" t="s">
        <v>72</v>
      </c>
      <c r="P2" t="s">
        <v>72</v>
      </c>
      <c r="Q2" t="s">
        <v>77</v>
      </c>
      <c r="R2" t="s">
        <v>72</v>
      </c>
      <c r="S2" t="s">
        <v>78</v>
      </c>
      <c r="T2" t="s">
        <v>79</v>
      </c>
      <c r="U2" t="s">
        <v>80</v>
      </c>
      <c r="V2" t="s">
        <v>80</v>
      </c>
    </row>
    <row r="3" spans="1:22">
      <c r="A3" s="8" t="s">
        <v>3</v>
      </c>
      <c r="D3" t="s">
        <v>81</v>
      </c>
      <c r="E3" t="s">
        <v>82</v>
      </c>
      <c r="F3" t="s">
        <v>78</v>
      </c>
      <c r="G3" t="s">
        <v>81</v>
      </c>
      <c r="H3" t="s">
        <v>83</v>
      </c>
      <c r="I3" t="s">
        <v>84</v>
      </c>
      <c r="J3" t="s">
        <v>85</v>
      </c>
      <c r="K3" t="s">
        <v>81</v>
      </c>
      <c r="L3" t="s">
        <v>86</v>
      </c>
      <c r="M3" t="s">
        <v>87</v>
      </c>
      <c r="N3" t="s">
        <v>78</v>
      </c>
      <c r="O3" t="s">
        <v>75</v>
      </c>
      <c r="P3" t="s">
        <v>70</v>
      </c>
      <c r="Q3" t="s">
        <v>88</v>
      </c>
      <c r="R3" t="s">
        <v>78</v>
      </c>
      <c r="S3" t="s">
        <v>89</v>
      </c>
      <c r="T3" t="s">
        <v>88</v>
      </c>
    </row>
    <row r="4" spans="1:22">
      <c r="A4" s="8" t="s">
        <v>90</v>
      </c>
      <c r="E4" t="s">
        <v>91</v>
      </c>
      <c r="F4" t="s">
        <v>70</v>
      </c>
      <c r="G4" t="s">
        <v>92</v>
      </c>
      <c r="H4" t="s">
        <v>93</v>
      </c>
      <c r="I4" t="s">
        <v>94</v>
      </c>
      <c r="J4" t="s">
        <v>95</v>
      </c>
      <c r="L4" t="s">
        <v>96</v>
      </c>
      <c r="M4" t="s">
        <v>78</v>
      </c>
      <c r="N4" t="s">
        <v>97</v>
      </c>
      <c r="O4" t="s">
        <v>81</v>
      </c>
      <c r="P4" t="s">
        <v>75</v>
      </c>
      <c r="Q4" t="s">
        <v>98</v>
      </c>
      <c r="R4" t="s">
        <v>97</v>
      </c>
      <c r="S4" t="s">
        <v>99</v>
      </c>
      <c r="T4" t="s">
        <v>100</v>
      </c>
    </row>
    <row r="5" spans="1:22">
      <c r="A5" s="8" t="s">
        <v>101</v>
      </c>
      <c r="E5" t="s">
        <v>81</v>
      </c>
      <c r="F5" t="s">
        <v>102</v>
      </c>
      <c r="I5" t="s">
        <v>103</v>
      </c>
      <c r="J5" t="s">
        <v>78</v>
      </c>
      <c r="L5" t="s">
        <v>104</v>
      </c>
      <c r="M5" t="s">
        <v>97</v>
      </c>
      <c r="N5" t="s">
        <v>99</v>
      </c>
      <c r="P5" t="s">
        <v>81</v>
      </c>
      <c r="Q5" t="s">
        <v>105</v>
      </c>
      <c r="R5" t="s">
        <v>106</v>
      </c>
      <c r="S5" t="s">
        <v>102</v>
      </c>
      <c r="T5" t="s">
        <v>107</v>
      </c>
    </row>
    <row r="6" spans="1:22">
      <c r="A6" s="8" t="s">
        <v>108</v>
      </c>
      <c r="F6" t="s">
        <v>109</v>
      </c>
      <c r="I6" t="s">
        <v>110</v>
      </c>
      <c r="J6" t="s">
        <v>111</v>
      </c>
      <c r="L6" t="s">
        <v>112</v>
      </c>
      <c r="M6" t="s">
        <v>106</v>
      </c>
      <c r="N6" t="s">
        <v>105</v>
      </c>
      <c r="Q6" t="s">
        <v>113</v>
      </c>
      <c r="R6" t="s">
        <v>102</v>
      </c>
      <c r="S6" t="s">
        <v>114</v>
      </c>
    </row>
    <row r="7" spans="1:22">
      <c r="A7" s="8" t="s">
        <v>115</v>
      </c>
      <c r="F7" t="s">
        <v>111</v>
      </c>
      <c r="J7" t="s">
        <v>116</v>
      </c>
      <c r="M7" t="s">
        <v>117</v>
      </c>
      <c r="N7" t="s">
        <v>117</v>
      </c>
      <c r="Q7" t="s">
        <v>118</v>
      </c>
      <c r="R7" t="s">
        <v>109</v>
      </c>
    </row>
    <row r="8" spans="1:22">
      <c r="A8" s="8" t="s">
        <v>119</v>
      </c>
      <c r="J8" t="s">
        <v>120</v>
      </c>
      <c r="M8" t="s">
        <v>121</v>
      </c>
      <c r="N8" t="s">
        <v>120</v>
      </c>
      <c r="Q8" t="s">
        <v>122</v>
      </c>
      <c r="R8" t="s">
        <v>81</v>
      </c>
    </row>
    <row r="9" spans="1:22">
      <c r="A9" s="8" t="s">
        <v>123</v>
      </c>
      <c r="J9" t="s">
        <v>121</v>
      </c>
      <c r="M9" t="s">
        <v>102</v>
      </c>
      <c r="N9" t="s">
        <v>124</v>
      </c>
      <c r="Q9" t="s">
        <v>125</v>
      </c>
    </row>
    <row r="10" spans="1:22">
      <c r="A10" s="8" t="s">
        <v>126</v>
      </c>
      <c r="J10" t="s">
        <v>70</v>
      </c>
      <c r="M10" t="s">
        <v>70</v>
      </c>
      <c r="N10" t="s">
        <v>102</v>
      </c>
      <c r="Q10" t="s">
        <v>127</v>
      </c>
    </row>
    <row r="11" spans="1:22">
      <c r="A11" s="8" t="s">
        <v>128</v>
      </c>
      <c r="J11" t="s">
        <v>129</v>
      </c>
      <c r="M11" t="s">
        <v>75</v>
      </c>
      <c r="N11" t="s">
        <v>70</v>
      </c>
      <c r="Q11" t="s">
        <v>130</v>
      </c>
    </row>
    <row r="12" spans="1:22">
      <c r="A12" s="8" t="s">
        <v>131</v>
      </c>
      <c r="J12" t="s">
        <v>102</v>
      </c>
      <c r="M12" t="s">
        <v>132</v>
      </c>
      <c r="N12" t="s">
        <v>75</v>
      </c>
      <c r="Q12" t="s">
        <v>133</v>
      </c>
    </row>
    <row r="13" spans="1:22">
      <c r="A13" s="8" t="s">
        <v>134</v>
      </c>
      <c r="J13" t="s">
        <v>99</v>
      </c>
      <c r="M13" t="s">
        <v>81</v>
      </c>
      <c r="Q13" t="s">
        <v>135</v>
      </c>
    </row>
    <row r="14" spans="1:22">
      <c r="A14" s="8" t="s">
        <v>136</v>
      </c>
      <c r="J14" t="s">
        <v>124</v>
      </c>
      <c r="M14" t="s">
        <v>124</v>
      </c>
      <c r="Q14" t="s">
        <v>137</v>
      </c>
    </row>
    <row r="15" spans="1:22">
      <c r="A15" s="8" t="s">
        <v>138</v>
      </c>
      <c r="J15" t="s">
        <v>139</v>
      </c>
      <c r="M15" t="s">
        <v>129</v>
      </c>
      <c r="Q15" t="s">
        <v>140</v>
      </c>
    </row>
    <row r="16" spans="1:22">
      <c r="A16" s="8" t="s">
        <v>141</v>
      </c>
      <c r="Q16" t="s">
        <v>142</v>
      </c>
    </row>
    <row r="17" spans="1:17">
      <c r="A17" s="8" t="s">
        <v>59</v>
      </c>
      <c r="Q17" t="s">
        <v>143</v>
      </c>
    </row>
    <row r="18" spans="1:17">
      <c r="A18" s="8" t="s">
        <v>144</v>
      </c>
      <c r="Q18" t="s">
        <v>145</v>
      </c>
    </row>
    <row r="19" spans="1:17">
      <c r="A19" s="8" t="s">
        <v>146</v>
      </c>
      <c r="Q19" t="s">
        <v>147</v>
      </c>
    </row>
    <row r="20" spans="1:17">
      <c r="A20" s="8" t="s">
        <v>148</v>
      </c>
      <c r="Q20" t="s">
        <v>149</v>
      </c>
    </row>
    <row r="21" spans="1:17">
      <c r="A21" s="8" t="s">
        <v>150</v>
      </c>
    </row>
    <row r="22" spans="1:17">
      <c r="A22" s="8" t="s">
        <v>151</v>
      </c>
      <c r="I22" t="str">
        <f>TRIM(I7)</f>
        <v/>
      </c>
      <c r="L22" t="str">
        <f>TRIM(L7)</f>
        <v/>
      </c>
    </row>
    <row r="23" spans="1:17">
      <c r="A23" s="8" t="s">
        <v>152</v>
      </c>
    </row>
    <row r="25" spans="1:17">
      <c r="E25" t="str">
        <f>TRIM(D25)</f>
        <v/>
      </c>
    </row>
    <row r="28" spans="1:17">
      <c r="N28" t="str">
        <f>TRIM(N13)</f>
        <v/>
      </c>
    </row>
    <row r="119" spans="4:4">
      <c r="D119" t="s">
        <v>153</v>
      </c>
    </row>
    <row r="120" spans="4:4">
      <c r="D120" t="s">
        <v>154</v>
      </c>
    </row>
    <row r="121" spans="4:4">
      <c r="D121" t="s">
        <v>155</v>
      </c>
    </row>
    <row r="127" spans="4:4">
      <c r="D127" t="s">
        <v>156</v>
      </c>
    </row>
    <row r="128" spans="4:4">
      <c r="D128" t="s">
        <v>157</v>
      </c>
    </row>
    <row r="129" spans="4:4">
      <c r="D129" t="s">
        <v>158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02EA5-3B7D-423D-BB4D-975F03EAEE6F}">
  <sheetPr codeName="Sheet3"/>
  <dimension ref="A1:A55"/>
  <sheetViews>
    <sheetView workbookViewId="0">
      <selection activeCell="J12" sqref="J12"/>
    </sheetView>
  </sheetViews>
  <sheetFormatPr defaultRowHeight="14.5"/>
  <sheetData>
    <row r="1" spans="1:1">
      <c r="A1" s="9" t="s">
        <v>396</v>
      </c>
    </row>
    <row r="2" spans="1:1">
      <c r="A2" t="s">
        <v>159</v>
      </c>
    </row>
    <row r="3" spans="1:1">
      <c r="A3" t="s">
        <v>160</v>
      </c>
    </row>
    <row r="4" spans="1:1">
      <c r="A4" t="s">
        <v>161</v>
      </c>
    </row>
    <row r="5" spans="1:1">
      <c r="A5" t="s">
        <v>162</v>
      </c>
    </row>
    <row r="6" spans="1:1">
      <c r="A6" t="s">
        <v>163</v>
      </c>
    </row>
    <row r="7" spans="1:1">
      <c r="A7" t="s">
        <v>164</v>
      </c>
    </row>
    <row r="8" spans="1:1">
      <c r="A8" t="s">
        <v>165</v>
      </c>
    </row>
    <row r="9" spans="1:1">
      <c r="A9" t="s">
        <v>166</v>
      </c>
    </row>
    <row r="10" spans="1:1">
      <c r="A10" t="s">
        <v>167</v>
      </c>
    </row>
    <row r="11" spans="1:1">
      <c r="A11" t="s">
        <v>168</v>
      </c>
    </row>
    <row r="12" spans="1:1">
      <c r="A12" t="s">
        <v>169</v>
      </c>
    </row>
    <row r="13" spans="1:1">
      <c r="A13" t="s">
        <v>170</v>
      </c>
    </row>
    <row r="14" spans="1:1">
      <c r="A14" t="s">
        <v>171</v>
      </c>
    </row>
    <row r="15" spans="1:1">
      <c r="A15" t="s">
        <v>172</v>
      </c>
    </row>
    <row r="16" spans="1:1">
      <c r="A16" t="s">
        <v>173</v>
      </c>
    </row>
    <row r="17" spans="1:1">
      <c r="A17" t="s">
        <v>174</v>
      </c>
    </row>
    <row r="18" spans="1:1">
      <c r="A18" t="s">
        <v>175</v>
      </c>
    </row>
    <row r="19" spans="1:1">
      <c r="A19" t="s">
        <v>176</v>
      </c>
    </row>
    <row r="20" spans="1:1">
      <c r="A20" t="s">
        <v>177</v>
      </c>
    </row>
    <row r="21" spans="1:1">
      <c r="A21" t="s">
        <v>178</v>
      </c>
    </row>
    <row r="22" spans="1:1">
      <c r="A22" t="s">
        <v>403</v>
      </c>
    </row>
    <row r="23" spans="1:1">
      <c r="A23" t="s">
        <v>404</v>
      </c>
    </row>
    <row r="24" spans="1:1">
      <c r="A24" t="s">
        <v>405</v>
      </c>
    </row>
    <row r="25" spans="1:1">
      <c r="A25" t="s">
        <v>406</v>
      </c>
    </row>
    <row r="26" spans="1:1">
      <c r="A26" t="s">
        <v>407</v>
      </c>
    </row>
    <row r="27" spans="1:1">
      <c r="A27" t="s">
        <v>408</v>
      </c>
    </row>
    <row r="28" spans="1:1">
      <c r="A28" t="s">
        <v>179</v>
      </c>
    </row>
    <row r="29" spans="1:1">
      <c r="A29" t="s">
        <v>180</v>
      </c>
    </row>
    <row r="30" spans="1:1">
      <c r="A30" t="s">
        <v>181</v>
      </c>
    </row>
    <row r="31" spans="1:1">
      <c r="A31" t="s">
        <v>182</v>
      </c>
    </row>
    <row r="32" spans="1:1">
      <c r="A32" t="s">
        <v>183</v>
      </c>
    </row>
    <row r="33" spans="1:1">
      <c r="A33" t="s">
        <v>184</v>
      </c>
    </row>
    <row r="34" spans="1:1">
      <c r="A34" t="s">
        <v>185</v>
      </c>
    </row>
    <row r="35" spans="1:1">
      <c r="A35" t="s">
        <v>186</v>
      </c>
    </row>
    <row r="36" spans="1:1">
      <c r="A36" t="s">
        <v>187</v>
      </c>
    </row>
    <row r="37" spans="1:1">
      <c r="A37" t="s">
        <v>188</v>
      </c>
    </row>
    <row r="38" spans="1:1">
      <c r="A38" t="s">
        <v>189</v>
      </c>
    </row>
    <row r="39" spans="1:1">
      <c r="A39" t="s">
        <v>190</v>
      </c>
    </row>
    <row r="40" spans="1:1">
      <c r="A40" t="s">
        <v>191</v>
      </c>
    </row>
    <row r="41" spans="1:1">
      <c r="A41" t="s">
        <v>192</v>
      </c>
    </row>
    <row r="42" spans="1:1">
      <c r="A42" t="s">
        <v>193</v>
      </c>
    </row>
    <row r="43" spans="1:1">
      <c r="A43" t="s">
        <v>194</v>
      </c>
    </row>
    <row r="44" spans="1:1">
      <c r="A44" t="s">
        <v>195</v>
      </c>
    </row>
    <row r="45" spans="1:1">
      <c r="A45" t="s">
        <v>196</v>
      </c>
    </row>
    <row r="46" spans="1:1">
      <c r="A46" t="s">
        <v>398</v>
      </c>
    </row>
    <row r="47" spans="1:1">
      <c r="A47" t="s">
        <v>399</v>
      </c>
    </row>
    <row r="48" spans="1:1">
      <c r="A48" t="s">
        <v>409</v>
      </c>
    </row>
    <row r="49" spans="1:1">
      <c r="A49" t="s">
        <v>410</v>
      </c>
    </row>
    <row r="50" spans="1:1">
      <c r="A50" t="s">
        <v>145</v>
      </c>
    </row>
    <row r="51" spans="1:1">
      <c r="A51" t="s">
        <v>118</v>
      </c>
    </row>
    <row r="52" spans="1:1">
      <c r="A52" t="s">
        <v>400</v>
      </c>
    </row>
    <row r="53" spans="1:1">
      <c r="A53" t="s">
        <v>411</v>
      </c>
    </row>
    <row r="54" spans="1:1">
      <c r="A54" t="s">
        <v>401</v>
      </c>
    </row>
    <row r="55" spans="1:1">
      <c r="A55" t="s">
        <v>402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20</vt:i4>
      </vt:variant>
    </vt:vector>
  </HeadingPairs>
  <TitlesOfParts>
    <vt:vector size="32" baseType="lpstr">
      <vt:lpstr>About</vt:lpstr>
      <vt:lpstr>Metadata</vt:lpstr>
      <vt:lpstr>Chronology</vt:lpstr>
      <vt:lpstr>Data</vt:lpstr>
      <vt:lpstr>ITRDB</vt:lpstr>
      <vt:lpstr>Example-ITRDB</vt:lpstr>
      <vt:lpstr>Example-Metadata</vt:lpstr>
      <vt:lpstr>Example-C14 Chronology</vt:lpstr>
      <vt:lpstr>Example-UTh Chronology</vt:lpstr>
      <vt:lpstr>Example-Data</vt:lpstr>
      <vt:lpstr>ProxyAndReconstructionInfo</vt:lpstr>
      <vt:lpstr>NOAASciKeywords</vt:lpstr>
      <vt:lpstr>borehole</vt:lpstr>
      <vt:lpstr>climate_forcing</vt:lpstr>
      <vt:lpstr>Climate_reconstructions</vt:lpstr>
      <vt:lpstr>corals_and_sclerosponges</vt:lpstr>
      <vt:lpstr>fauna</vt:lpstr>
      <vt:lpstr>fire_history</vt:lpstr>
      <vt:lpstr>historical</vt:lpstr>
      <vt:lpstr>ice_cores</vt:lpstr>
      <vt:lpstr>insect</vt:lpstr>
      <vt:lpstr>instrumental</vt:lpstr>
      <vt:lpstr>lake_levels</vt:lpstr>
      <vt:lpstr>loess</vt:lpstr>
      <vt:lpstr>paleoceanography</vt:lpstr>
      <vt:lpstr>Paleoclimatic_Modeling</vt:lpstr>
      <vt:lpstr>paleolimnology</vt:lpstr>
      <vt:lpstr>plant_macrofossils</vt:lpstr>
      <vt:lpstr>pollen</vt:lpstr>
      <vt:lpstr>ProxyList2</vt:lpstr>
      <vt:lpstr>speleothems</vt:lpstr>
      <vt:lpstr>tree_ring</vt:lpstr>
    </vt:vector>
  </TitlesOfParts>
  <Company>NESDIS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P. Gille</dc:creator>
  <cp:lastModifiedBy>Edward P. Gille</cp:lastModifiedBy>
  <dcterms:created xsi:type="dcterms:W3CDTF">2021-04-12T18:38:43Z</dcterms:created>
  <dcterms:modified xsi:type="dcterms:W3CDTF">2022-10-31T21:35:06Z</dcterms:modified>
</cp:coreProperties>
</file>